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f8e223d227fb58d9/Desktop/E-commerce customer sales dashboard/"/>
    </mc:Choice>
  </mc:AlternateContent>
  <xr:revisionPtr revIDLastSave="1" documentId="8_{85620451-CEA5-43DB-BD71-EFB9CBA7AAD3}" xr6:coauthVersionLast="47" xr6:coauthVersionMax="47" xr10:uidLastSave="{D5E37EDB-EB22-4C39-A4BE-039A3D878B35}"/>
  <bookViews>
    <workbookView xWindow="-120" yWindow="-120" windowWidth="29040" windowHeight="15720" activeTab="5" xr2:uid="{346724B3-1C49-40AE-AA36-C77CF5D6DD09}"/>
  </bookViews>
  <sheets>
    <sheet name="Pivots" sheetId="5" r:id="rId1"/>
    <sheet name="Pivot 2" sheetId="7" r:id="rId2"/>
    <sheet name="Pivot3" sheetId="9" r:id="rId3"/>
    <sheet name="Data" sheetId="1" r:id="rId4"/>
    <sheet name="Questions &amp; KPIs" sheetId="2" r:id="rId5"/>
    <sheet name="Dashboard" sheetId="6" r:id="rId6"/>
  </sheets>
  <definedNames>
    <definedName name="_xlchart.v5.0" hidden="1">Pivots!$F$69:$G$69</definedName>
    <definedName name="_xlchart.v5.1" hidden="1">Pivots!$F$70:$G$127</definedName>
    <definedName name="_xlchart.v5.2" hidden="1">Pivots!$H$69</definedName>
    <definedName name="_xlchart.v5.3" hidden="1">Pivots!$H$70:$H$127</definedName>
    <definedName name="_xlchart.v5.4" hidden="1">Pivots!$J$69:$K$69</definedName>
    <definedName name="_xlchart.v5.5" hidden="1">Pivots!$J$70:$K$127</definedName>
    <definedName name="_xlchart.v5.6" hidden="1">Pivots!$L$69</definedName>
    <definedName name="_xlchart.v5.7" hidden="1">Pivots!$L$70:$L$127</definedName>
    <definedName name="Slicer_Gender_Value">#N/A</definedName>
    <definedName name="Slicer_Order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70" i="5" l="1"/>
  <c r="J71" i="5"/>
  <c r="K71" i="5"/>
  <c r="J72" i="5"/>
  <c r="K72" i="5"/>
  <c r="J73" i="5"/>
  <c r="K73" i="5"/>
  <c r="J74" i="5"/>
  <c r="K74" i="5"/>
  <c r="J75" i="5"/>
  <c r="K75" i="5"/>
  <c r="J76" i="5"/>
  <c r="K76" i="5"/>
  <c r="J77" i="5"/>
  <c r="K77" i="5"/>
  <c r="J78" i="5"/>
  <c r="K78" i="5"/>
  <c r="J79" i="5"/>
  <c r="K79" i="5"/>
  <c r="J80" i="5"/>
  <c r="K80" i="5"/>
  <c r="J81" i="5"/>
  <c r="K81" i="5"/>
  <c r="J82" i="5"/>
  <c r="K82" i="5"/>
  <c r="J83" i="5"/>
  <c r="K83" i="5"/>
  <c r="J84" i="5"/>
  <c r="K84" i="5"/>
  <c r="J85" i="5"/>
  <c r="K85" i="5"/>
  <c r="J86" i="5"/>
  <c r="K86" i="5"/>
  <c r="J87" i="5"/>
  <c r="K87" i="5"/>
  <c r="J88" i="5"/>
  <c r="K88" i="5"/>
  <c r="J89" i="5"/>
  <c r="K89" i="5"/>
  <c r="J90" i="5"/>
  <c r="K90" i="5"/>
  <c r="J91" i="5"/>
  <c r="K91" i="5"/>
  <c r="J92" i="5"/>
  <c r="K92" i="5"/>
  <c r="J93" i="5"/>
  <c r="K93" i="5"/>
  <c r="J94" i="5"/>
  <c r="K94" i="5"/>
  <c r="J95" i="5"/>
  <c r="K95" i="5"/>
  <c r="J96" i="5"/>
  <c r="K96" i="5"/>
  <c r="J97" i="5"/>
  <c r="K97" i="5"/>
  <c r="J98" i="5"/>
  <c r="K98" i="5"/>
  <c r="J99" i="5"/>
  <c r="K99" i="5"/>
  <c r="J100" i="5"/>
  <c r="K100" i="5"/>
  <c r="J101" i="5"/>
  <c r="K101" i="5"/>
  <c r="J102" i="5"/>
  <c r="K102" i="5"/>
  <c r="J103" i="5"/>
  <c r="K103" i="5"/>
  <c r="J104" i="5"/>
  <c r="K104" i="5"/>
  <c r="J105" i="5"/>
  <c r="K105" i="5"/>
  <c r="J106" i="5"/>
  <c r="K106" i="5"/>
  <c r="J107" i="5"/>
  <c r="K107" i="5"/>
  <c r="J108" i="5"/>
  <c r="K108" i="5"/>
  <c r="J109" i="5"/>
  <c r="K109" i="5"/>
  <c r="J110" i="5"/>
  <c r="K110" i="5"/>
  <c r="J111" i="5"/>
  <c r="K111" i="5"/>
  <c r="J112" i="5"/>
  <c r="K112" i="5"/>
  <c r="J113" i="5"/>
  <c r="K113" i="5"/>
  <c r="J114" i="5"/>
  <c r="K114" i="5"/>
  <c r="J115" i="5"/>
  <c r="K115" i="5"/>
  <c r="J116" i="5"/>
  <c r="K116" i="5"/>
  <c r="J117" i="5"/>
  <c r="K117" i="5"/>
  <c r="J118" i="5"/>
  <c r="K118" i="5"/>
  <c r="J119" i="5"/>
  <c r="K119" i="5"/>
  <c r="J120" i="5"/>
  <c r="K120" i="5"/>
  <c r="J121" i="5"/>
  <c r="K121" i="5"/>
  <c r="J122" i="5"/>
  <c r="K122" i="5"/>
  <c r="J123" i="5"/>
  <c r="K123" i="5"/>
  <c r="J124" i="5"/>
  <c r="K124" i="5"/>
  <c r="J125" i="5"/>
  <c r="K125" i="5"/>
  <c r="J126" i="5"/>
  <c r="K126" i="5"/>
  <c r="J127" i="5"/>
  <c r="K127" i="5"/>
  <c r="K70" i="5"/>
  <c r="J70" i="5"/>
  <c r="F71" i="5"/>
  <c r="G71" i="5"/>
  <c r="F72" i="5"/>
  <c r="G72" i="5"/>
  <c r="F73" i="5"/>
  <c r="G73" i="5"/>
  <c r="F74" i="5"/>
  <c r="G74" i="5"/>
  <c r="F75" i="5"/>
  <c r="G75" i="5"/>
  <c r="F76" i="5"/>
  <c r="G76" i="5"/>
  <c r="F77" i="5"/>
  <c r="G77" i="5"/>
  <c r="F78" i="5"/>
  <c r="G78" i="5"/>
  <c r="F79" i="5"/>
  <c r="G79" i="5"/>
  <c r="F80" i="5"/>
  <c r="G80" i="5"/>
  <c r="F81" i="5"/>
  <c r="G81" i="5"/>
  <c r="F82" i="5"/>
  <c r="G82" i="5"/>
  <c r="F83" i="5"/>
  <c r="G83" i="5"/>
  <c r="F84" i="5"/>
  <c r="G84" i="5"/>
  <c r="F85" i="5"/>
  <c r="G85" i="5"/>
  <c r="F86" i="5"/>
  <c r="G86" i="5"/>
  <c r="F87" i="5"/>
  <c r="G87" i="5"/>
  <c r="F88" i="5"/>
  <c r="G88" i="5"/>
  <c r="F89" i="5"/>
  <c r="G89" i="5"/>
  <c r="F90" i="5"/>
  <c r="G90" i="5"/>
  <c r="F91" i="5"/>
  <c r="G91" i="5"/>
  <c r="F92" i="5"/>
  <c r="G92" i="5"/>
  <c r="F93" i="5"/>
  <c r="G93" i="5"/>
  <c r="F94" i="5"/>
  <c r="G94" i="5"/>
  <c r="F95" i="5"/>
  <c r="G95" i="5"/>
  <c r="F96" i="5"/>
  <c r="G96" i="5"/>
  <c r="F97" i="5"/>
  <c r="G97" i="5"/>
  <c r="F98" i="5"/>
  <c r="G98" i="5"/>
  <c r="F99" i="5"/>
  <c r="G99" i="5"/>
  <c r="F100" i="5"/>
  <c r="G100" i="5"/>
  <c r="F101" i="5"/>
  <c r="G101" i="5"/>
  <c r="F102" i="5"/>
  <c r="G102" i="5"/>
  <c r="F103" i="5"/>
  <c r="G103" i="5"/>
  <c r="F104" i="5"/>
  <c r="G104" i="5"/>
  <c r="F105" i="5"/>
  <c r="G105" i="5"/>
  <c r="F106" i="5"/>
  <c r="G106" i="5"/>
  <c r="F107" i="5"/>
  <c r="G107" i="5"/>
  <c r="F108" i="5"/>
  <c r="G108" i="5"/>
  <c r="F109" i="5"/>
  <c r="G109" i="5"/>
  <c r="F110" i="5"/>
  <c r="G110" i="5"/>
  <c r="F111" i="5"/>
  <c r="G111" i="5"/>
  <c r="F112" i="5"/>
  <c r="G112" i="5"/>
  <c r="F113" i="5"/>
  <c r="G113" i="5"/>
  <c r="F114" i="5"/>
  <c r="G114" i="5"/>
  <c r="F115" i="5"/>
  <c r="G115" i="5"/>
  <c r="F116" i="5"/>
  <c r="G116" i="5"/>
  <c r="F117" i="5"/>
  <c r="G117" i="5"/>
  <c r="F118" i="5"/>
  <c r="G118" i="5"/>
  <c r="F119" i="5"/>
  <c r="G119" i="5"/>
  <c r="F120" i="5"/>
  <c r="G120" i="5"/>
  <c r="F121" i="5"/>
  <c r="G121" i="5"/>
  <c r="F122" i="5"/>
  <c r="G122" i="5"/>
  <c r="F123" i="5"/>
  <c r="G123" i="5"/>
  <c r="F124" i="5"/>
  <c r="G124" i="5"/>
  <c r="F125" i="5"/>
  <c r="G125" i="5"/>
  <c r="F126" i="5"/>
  <c r="G126" i="5"/>
  <c r="F127" i="5"/>
  <c r="G127" i="5"/>
  <c r="G70" i="5"/>
  <c r="F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70" i="5"/>
  <c r="J4" i="7"/>
  <c r="L6" i="7"/>
  <c r="M6" i="7"/>
  <c r="L7" i="7"/>
  <c r="M7" i="7"/>
  <c r="L8" i="7"/>
  <c r="M8" i="7"/>
  <c r="L9" i="7"/>
  <c r="M9" i="7"/>
  <c r="M5" i="7"/>
  <c r="M4" i="7"/>
  <c r="L4" i="7"/>
  <c r="K4" i="7"/>
  <c r="I6" i="7"/>
  <c r="J6" i="7"/>
  <c r="K6" i="7"/>
  <c r="I7" i="7"/>
  <c r="J7" i="7"/>
  <c r="K7" i="7"/>
  <c r="I8" i="7"/>
  <c r="J8" i="7"/>
  <c r="K8" i="7"/>
  <c r="I9" i="7"/>
  <c r="J9" i="7"/>
  <c r="K9" i="7"/>
  <c r="J5" i="7"/>
  <c r="K5" i="7"/>
  <c r="L5" i="7"/>
  <c r="I5" i="7"/>
  <c r="L4" i="5"/>
  <c r="K4" i="5"/>
  <c r="J4" i="5"/>
  <c r="I4" i="5"/>
  <c r="H4" i="5"/>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N2401" i="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alcChain>
</file>

<file path=xl/sharedStrings.xml><?xml version="1.0" encoding="utf-8"?>
<sst xmlns="http://schemas.openxmlformats.org/spreadsheetml/2006/main" count="14583" uniqueCount="2550">
  <si>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</si>
  <si>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</si>
  <si>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</si>
  <si>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</si>
  <si>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</si>
  <si>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</si>
  <si>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</si>
  <si>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</si>
  <si>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</si>
  <si>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</si>
  <si>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</si>
  <si>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</si>
  <si>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</si>
  <si>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</si>
  <si>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</si>
  <si>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</si>
  <si>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</si>
  <si>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</si>
  <si>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</si>
  <si>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</si>
  <si>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</si>
  <si>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</si>
  <si>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</si>
  <si>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</si>
  <si>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</si>
  <si>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</si>
  <si>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</si>
  <si>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</si>
  <si>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</si>
  <si>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</si>
  <si>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</si>
  <si>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</si>
  <si>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</si>
  <si>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</si>
  <si>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</si>
  <si>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</si>
  <si>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</si>
  <si>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</si>
  <si>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</si>
  <si>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</si>
  <si>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</si>
  <si>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</si>
  <si>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</si>
  <si>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</si>
  <si>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</si>
  <si>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</si>
  <si>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</si>
  <si>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</si>
  <si>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</si>
  <si>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</si>
  <si>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</si>
  <si>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</si>
  <si>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</si>
  <si>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</si>
  <si>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</si>
  <si>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</si>
  <si>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</si>
  <si>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</si>
  <si>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</si>
  <si>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</si>
  <si>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</si>
  <si>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</si>
  <si>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</si>
  <si>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</si>
  <si>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</si>
  <si>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</si>
  <si>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</si>
  <si>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</si>
  <si>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</si>
  <si>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</si>
  <si>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</si>
  <si>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</si>
  <si>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</si>
  <si>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</si>
  <si>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</si>
  <si>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</si>
  <si>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</si>
  <si>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</si>
  <si>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</si>
  <si>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</si>
  <si>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</si>
  <si>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</si>
  <si>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</si>
  <si>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</si>
  <si>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</si>
  <si>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</si>
  <si>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</si>
  <si>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</si>
  <si>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</si>
  <si>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</si>
  <si>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</si>
  <si>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</si>
  <si>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</si>
  <si>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</si>
  <si>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</si>
  <si>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</si>
  <si>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</si>
  <si>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</si>
  <si>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</si>
  <si>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</si>
  <si>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</si>
  <si>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</si>
  <si>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</si>
  <si>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</si>
  <si>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</si>
  <si>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</si>
  <si>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</si>
  <si>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</si>
  <si>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</si>
  <si>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</si>
  <si>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</si>
  <si>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</si>
  <si>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</si>
  <si>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</si>
  <si>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</si>
  <si>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</si>
  <si>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</si>
  <si>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</si>
  <si>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</si>
  <si>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</si>
  <si>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</si>
  <si>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</si>
  <si>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</si>
  <si>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</si>
  <si>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</si>
  <si>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</si>
  <si>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</si>
  <si>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</si>
  <si>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</si>
  <si>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</si>
  <si>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</si>
  <si>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</si>
  <si>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</si>
  <si>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</si>
  <si>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</si>
  <si>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</si>
  <si>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</si>
  <si>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</si>
  <si>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</si>
  <si>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</si>
  <si>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</si>
  <si>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</si>
  <si>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</si>
  <si>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</si>
  <si>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</si>
  <si>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</si>
  <si>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</si>
  <si>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</si>
  <si>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</si>
  <si>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</si>
  <si>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</si>
  <si>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</si>
  <si>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</si>
  <si>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</si>
  <si>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</si>
  <si>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</si>
  <si>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</si>
  <si>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</si>
  <si>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</si>
  <si>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</si>
  <si>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</si>
  <si>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</si>
  <si>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</si>
  <si>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</si>
  <si>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</si>
  <si>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</si>
  <si>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</si>
  <si>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</si>
  <si>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</si>
  <si>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</si>
  <si>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</si>
  <si>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</si>
  <si>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</si>
  <si>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</si>
  <si>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</si>
  <si>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</si>
  <si>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</si>
  <si>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</si>
  <si>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</si>
  <si>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</si>
  <si>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</si>
  <si>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</si>
  <si>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</si>
  <si>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</si>
  <si>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</si>
  <si>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</si>
  <si>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</si>
  <si>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</si>
  <si>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</si>
  <si>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</si>
  <si>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</si>
  <si>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</si>
  <si>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</si>
  <si>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</si>
  <si>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</si>
  <si>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</si>
  <si>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</si>
  <si>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</si>
  <si>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</si>
  <si>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</si>
  <si>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</si>
  <si>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</si>
  <si>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</si>
  <si>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</si>
  <si>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</si>
  <si>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</si>
  <si>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</si>
  <si>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</si>
  <si>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</si>
  <si>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</si>
  <si>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</si>
  <si>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</si>
  <si>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</si>
  <si>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</si>
  <si>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</si>
  <si>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</si>
  <si>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</si>
  <si>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</si>
  <si>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</si>
  <si>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</si>
  <si>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</si>
  <si>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</si>
  <si>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</si>
  <si>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</si>
  <si>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</si>
  <si>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</si>
  <si>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</si>
  <si>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</si>
  <si>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</si>
  <si>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</si>
  <si>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</si>
  <si>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</si>
  <si>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</si>
  <si>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</si>
  <si>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</si>
  <si>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</si>
  <si>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</si>
  <si>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</si>
  <si>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</si>
  <si>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</si>
  <si>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</si>
  <si>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</si>
  <si>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</si>
  <si>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</si>
  <si>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</si>
  <si>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</si>
  <si>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</si>
  <si>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</si>
  <si>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</si>
  <si>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</si>
  <si>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</si>
  <si>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</si>
  <si>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</si>
  <si>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</si>
  <si>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</si>
  <si>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</si>
  <si>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</si>
  <si>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</si>
  <si>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</si>
  <si>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</si>
  <si>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</si>
  <si>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</si>
  <si>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</si>
  <si>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</si>
  <si>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</si>
  <si>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</si>
  <si>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</si>
  <si>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</si>
  <si>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</si>
  <si>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</si>
  <si>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</si>
  <si>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</si>
  <si>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</si>
  <si>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</si>
  <si>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</si>
  <si>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</si>
  <si>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</si>
  <si>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</si>
  <si>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</si>
  <si>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</si>
  <si>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</si>
  <si>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</si>
  <si>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</si>
  <si>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</si>
  <si>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</si>
  <si>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</si>
  <si>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</si>
  <si>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</si>
  <si>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</si>
  <si>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</si>
  <si>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</si>
  <si>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</si>
  <si>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</si>
  <si>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</si>
  <si>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</si>
  <si>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</si>
  <si>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</si>
  <si>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</si>
  <si>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</si>
  <si>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</si>
  <si>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</si>
  <si>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</si>
  <si>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</si>
  <si>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</si>
  <si>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</si>
  <si>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</si>
  <si>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</si>
  <si>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</si>
  <si>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</si>
  <si>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</si>
  <si>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</si>
  <si>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</si>
  <si>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</si>
  <si>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</si>
  <si>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</si>
  <si>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</si>
  <si>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</si>
  <si>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</si>
  <si>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</si>
  <si>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</si>
  <si>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</si>
  <si>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</si>
  <si>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</si>
  <si>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</si>
  <si>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</si>
  <si>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</si>
  <si>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</si>
  <si>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</si>
  <si>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</si>
  <si>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</si>
  <si>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</si>
  <si>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</si>
  <si>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</si>
  <si>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</si>
  <si>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</si>
  <si>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</si>
  <si>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</si>
  <si>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</si>
  <si>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</si>
  <si>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</si>
  <si>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</si>
  <si>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</si>
  <si>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</si>
  <si>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</si>
  <si>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</si>
  <si>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</si>
  <si>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</si>
  <si>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</si>
  <si>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</si>
  <si>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</si>
  <si>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</si>
  <si>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</si>
  <si>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</si>
  <si>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</si>
  <si>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</si>
  <si>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</si>
  <si>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</si>
  <si>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</si>
  <si>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</si>
  <si>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</si>
  <si>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</si>
  <si>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</si>
  <si>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</si>
  <si>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</si>
  <si>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</si>
  <si>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</si>
  <si>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</si>
  <si>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</si>
  <si>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</si>
  <si>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</si>
  <si>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</si>
  <si>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</si>
  <si>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</si>
  <si>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</si>
  <si>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</si>
  <si>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</si>
  <si>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</si>
  <si>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</si>
  <si>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</si>
  <si>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</si>
  <si>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</si>
  <si>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</si>
  <si>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</si>
  <si>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</si>
  <si>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</si>
  <si>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</si>
  <si>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</si>
  <si>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</si>
  <si>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</si>
  <si>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</si>
  <si>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</si>
  <si>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</si>
  <si>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</si>
  <si>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</si>
  <si>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</si>
  <si>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</si>
  <si>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</si>
  <si>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</si>
  <si>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</si>
  <si>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</si>
  <si>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</si>
  <si>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</si>
  <si>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</si>
  <si>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</si>
  <si>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</si>
  <si>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</si>
  <si>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</si>
  <si>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</si>
  <si>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</si>
  <si>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</si>
  <si>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</si>
  <si>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</si>
  <si>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</si>
  <si>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</si>
  <si>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</si>
  <si>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</si>
  <si>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</si>
  <si>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</si>
  <si>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</si>
  <si>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</si>
  <si>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</si>
  <si>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</si>
  <si>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</si>
  <si>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</si>
  <si>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</si>
  <si>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</si>
  <si>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</si>
  <si>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</si>
  <si>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</si>
  <si>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</si>
  <si>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</si>
  <si>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</si>
  <si>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</si>
  <si>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</si>
  <si>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</si>
  <si>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</si>
  <si>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</si>
  <si>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</si>
  <si>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</si>
  <si>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</si>
  <si>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</si>
  <si>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</si>
  <si>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</si>
  <si>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</si>
  <si>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</si>
  <si>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</si>
  <si>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</si>
  <si>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</si>
  <si>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</si>
  <si>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</si>
  <si>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</si>
  <si>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</si>
  <si>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</si>
  <si>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</si>
  <si>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</si>
  <si>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</si>
  <si>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</si>
  <si>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</si>
  <si>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</si>
  <si>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</si>
  <si>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</si>
  <si>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</si>
  <si>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</si>
  <si>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</si>
  <si>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</si>
  <si>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</si>
  <si>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</si>
  <si>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</si>
  <si>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</si>
  <si>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</si>
  <si>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</si>
  <si>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</si>
  <si>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</si>
  <si>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</si>
  <si>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</si>
  <si>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</si>
  <si>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</si>
  <si>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</si>
  <si>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</si>
  <si>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</si>
  <si>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</si>
  <si>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</si>
  <si>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</si>
  <si>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</si>
  <si>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</si>
  <si>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</si>
  <si>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</si>
  <si>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</si>
  <si>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</si>
  <si>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</si>
  <si>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</si>
  <si>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</si>
  <si>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</si>
  <si>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</si>
  <si>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</si>
  <si>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</si>
  <si>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</si>
  <si>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</si>
  <si>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</si>
  <si>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</si>
  <si>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</si>
  <si>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</si>
  <si>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</si>
  <si>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</si>
  <si>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</si>
  <si>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</si>
  <si>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</si>
  <si>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</si>
  <si>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</si>
  <si>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</si>
  <si>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</si>
  <si>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</si>
  <si>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</si>
  <si>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</si>
  <si>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</si>
  <si>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</si>
  <si>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</si>
  <si>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</si>
  <si>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</si>
  <si>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</si>
  <si>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</si>
  <si>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</si>
  <si>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</si>
  <si>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</si>
  <si>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</si>
  <si>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</si>
  <si>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</si>
  <si>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</si>
  <si>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</si>
  <si>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</si>
  <si>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</si>
  <si>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</si>
  <si>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</si>
  <si>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</si>
  <si>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</si>
  <si>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</si>
  <si>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</si>
  <si>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</si>
  <si>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</si>
  <si>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</si>
  <si>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</si>
  <si>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</si>
  <si>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</si>
  <si>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</si>
  <si>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</si>
  <si>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</si>
  <si>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</si>
  <si>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</si>
  <si>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</si>
  <si>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</si>
  <si>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</si>
  <si>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</si>
  <si>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</si>
  <si>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</si>
  <si>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</si>
  <si>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</si>
  <si>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</si>
  <si>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</si>
  <si>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</si>
  <si>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</si>
  <si>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</si>
  <si>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</si>
  <si>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</si>
  <si>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</si>
  <si>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</si>
  <si>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</si>
  <si>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</si>
  <si>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</si>
  <si>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</si>
  <si>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</si>
  <si>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</si>
  <si>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</si>
  <si>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</si>
  <si>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</si>
  <si>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</si>
  <si>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</si>
  <si>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</si>
  <si>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</si>
  <si>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</si>
  <si>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</si>
  <si>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</si>
  <si>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</si>
  <si>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</si>
  <si>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</si>
  <si>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</si>
  <si>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</si>
  <si>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</si>
  <si>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</si>
  <si>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</si>
  <si>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</si>
  <si>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</si>
  <si>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</si>
  <si>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</si>
  <si>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</si>
  <si>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</si>
  <si>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</si>
  <si>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</si>
  <si>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</si>
  <si>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</si>
  <si>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</si>
  <si>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</si>
  <si>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</si>
  <si>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</si>
  <si>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</si>
  <si>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</si>
  <si>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</si>
  <si>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</si>
  <si>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</si>
  <si>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</si>
  <si>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</si>
  <si>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</si>
  <si>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</si>
  <si>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</si>
  <si>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</si>
  <si>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</si>
  <si>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</si>
  <si>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</si>
  <si>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</si>
  <si>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</si>
  <si>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</si>
  <si>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</si>
  <si>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</si>
  <si>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</si>
  <si>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</si>
  <si>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</si>
  <si>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</si>
  <si>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</si>
  <si>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</si>
  <si>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</si>
  <si>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</si>
  <si>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</si>
  <si>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</si>
  <si>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</si>
  <si>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</si>
  <si>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</si>
  <si>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</si>
  <si>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</si>
  <si>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</si>
  <si>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</si>
  <si>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</si>
  <si>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</si>
  <si>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</si>
  <si>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</si>
  <si>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</si>
  <si>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</si>
  <si>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</si>
  <si>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</si>
  <si>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</si>
  <si>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</si>
  <si>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</si>
  <si>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</si>
  <si>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</si>
  <si>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</si>
  <si>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</si>
  <si>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</si>
  <si>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</si>
  <si>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</si>
  <si>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</si>
  <si>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</si>
  <si>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</si>
  <si>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</si>
  <si>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</si>
  <si>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</si>
  <si>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</si>
  <si>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</si>
  <si>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</si>
  <si>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</si>
  <si>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</si>
  <si>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</si>
  <si>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</si>
  <si>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</si>
  <si>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</si>
  <si>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</si>
  <si>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</si>
  <si>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</si>
  <si>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</si>
  <si>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</si>
  <si>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</si>
  <si>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</si>
  <si>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</si>
  <si>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</si>
  <si>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</si>
  <si>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</si>
  <si>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</si>
  <si>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</si>
  <si>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</si>
  <si>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</si>
  <si>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</si>
  <si>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</si>
  <si>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</si>
  <si>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</si>
  <si>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</si>
  <si>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</si>
  <si>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</si>
  <si>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</si>
  <si>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</si>
  <si>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</si>
  <si>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</si>
  <si>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</si>
  <si>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</si>
  <si>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</si>
  <si>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</si>
  <si>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</si>
  <si>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</si>
  <si>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</si>
  <si>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</si>
  <si>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</si>
  <si>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</si>
  <si>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</si>
  <si>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</si>
  <si>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</si>
  <si>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</si>
  <si>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</si>
  <si>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</si>
  <si>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</si>
  <si>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</si>
  <si>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</si>
  <si>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</si>
  <si>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</si>
  <si>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</si>
  <si>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</si>
  <si>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</si>
  <si>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</si>
  <si>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</si>
  <si>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</si>
  <si>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</si>
  <si>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</si>
  <si>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</si>
  <si>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</si>
  <si>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</si>
  <si>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</si>
  <si>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</si>
  <si>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</si>
  <si>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</si>
  <si>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</si>
  <si>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</si>
  <si>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</si>
  <si>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</si>
  <si>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</si>
  <si>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</si>
  <si>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</si>
  <si>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</si>
  <si>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</si>
  <si>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</si>
  <si>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</si>
  <si>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</si>
  <si>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</si>
  <si>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</si>
  <si>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</si>
  <si>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</si>
  <si>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</si>
  <si>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</si>
  <si>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</si>
  <si>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</si>
  <si>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</si>
  <si>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</si>
  <si>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</si>
  <si>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</si>
  <si>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</si>
  <si>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</si>
  <si>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</si>
  <si>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</si>
  <si>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</si>
  <si>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</si>
  <si>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</si>
  <si>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</si>
  <si>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</si>
  <si>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</si>
  <si>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</si>
  <si>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</si>
  <si>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</si>
  <si>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</si>
  <si>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</si>
  <si>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</si>
  <si>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</si>
  <si>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</si>
  <si>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</si>
  <si>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</si>
  <si>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</si>
  <si>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</si>
  <si>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</si>
  <si>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</si>
  <si>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</si>
  <si>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</si>
  <si>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</si>
  <si>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</si>
  <si>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</si>
  <si>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</si>
  <si>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</si>
  <si>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</si>
  <si>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</si>
  <si>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</si>
  <si>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</si>
  <si>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</si>
  <si>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</si>
  <si>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</si>
  <si>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</si>
  <si>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</si>
  <si>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</si>
  <si>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</si>
  <si>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</si>
  <si>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</si>
  <si>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</si>
  <si>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</si>
  <si>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</si>
  <si>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</si>
  <si>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</si>
  <si>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</si>
  <si>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</si>
  <si>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</si>
  <si>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</si>
  <si>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</si>
  <si>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</si>
  <si>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</si>
  <si>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</si>
  <si>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</si>
  <si>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</si>
  <si>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</si>
  <si>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</si>
  <si>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</si>
  <si>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</si>
  <si>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</si>
  <si>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</si>
  <si>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</si>
  <si>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</si>
  <si>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</si>
  <si>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</si>
  <si>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</si>
  <si>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</si>
  <si>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</si>
  <si>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</si>
  <si>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</si>
  <si>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</si>
  <si>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</si>
  <si>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</si>
  <si>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</si>
  <si>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</si>
  <si>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</si>
  <si>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</si>
  <si>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</si>
  <si>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</si>
  <si>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</si>
  <si>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</si>
  <si>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</si>
  <si>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</si>
  <si>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</si>
  <si>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</si>
  <si>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</si>
  <si>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</si>
  <si>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</si>
  <si>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</si>
  <si>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</si>
  <si>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</si>
  <si>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</si>
  <si>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</si>
  <si>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</si>
  <si>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</si>
  <si>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</si>
  <si>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</si>
  <si>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</si>
  <si>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</si>
  <si>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</si>
  <si>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</si>
  <si>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</si>
  <si>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</si>
  <si>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</si>
  <si>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</si>
  <si>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</si>
  <si>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</si>
  <si>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</si>
  <si>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</si>
  <si>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</si>
  <si>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</si>
  <si>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</si>
  <si>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</si>
  <si>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</si>
  <si>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</si>
  <si>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</si>
  <si>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</si>
  <si>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</si>
  <si>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</si>
  <si>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</si>
  <si>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</si>
  <si>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</si>
  <si>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</si>
  <si>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</si>
  <si>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</si>
  <si>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</si>
  <si>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</si>
  <si>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</si>
  <si>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</si>
  <si>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</si>
  <si>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</si>
  <si>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</si>
  <si>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</si>
  <si>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</si>
  <si>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</si>
  <si>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</si>
  <si>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</si>
  <si>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</si>
  <si>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</si>
  <si>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</si>
  <si>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</si>
  <si>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</si>
  <si>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</si>
  <si>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</si>
  <si>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</si>
  <si>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</si>
  <si>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</si>
  <si>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</si>
  <si>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</si>
  <si>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</si>
  <si>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</si>
  <si>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</si>
  <si>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</si>
  <si>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</si>
  <si>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</si>
  <si>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</si>
  <si>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</si>
  <si>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</si>
  <si>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</si>
  <si>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</si>
  <si>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</si>
  <si>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</si>
  <si>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</si>
  <si>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</si>
  <si>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</si>
  <si>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</si>
  <si>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</si>
  <si>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</si>
  <si>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</si>
  <si>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</si>
  <si>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</si>
  <si>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</si>
  <si>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</si>
  <si>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</si>
  <si>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</si>
  <si>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</si>
  <si>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</si>
  <si>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</si>
  <si>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</si>
  <si>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</si>
  <si>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</si>
  <si>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</si>
  <si>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</si>
  <si>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</si>
  <si>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</si>
  <si>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</si>
  <si>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</si>
  <si>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</si>
  <si>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</si>
  <si>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</si>
  <si>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</si>
  <si>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</si>
  <si>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</si>
  <si>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</si>
  <si>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</si>
  <si>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</si>
  <si>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</si>
  <si>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</si>
  <si>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</si>
  <si>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</si>
  <si>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</si>
  <si>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</si>
  <si>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</si>
  <si>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</si>
  <si>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</si>
  <si>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</si>
  <si>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</si>
  <si>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</si>
  <si>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</si>
  <si>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</si>
  <si>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</si>
  <si>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</si>
  <si>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</si>
  <si>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</si>
  <si>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</si>
  <si>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</si>
  <si>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</si>
  <si>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</si>
  <si>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</si>
  <si>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</si>
  <si>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</si>
  <si>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</si>
  <si>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</si>
  <si>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</si>
  <si>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</si>
  <si>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</si>
  <si>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</si>
  <si>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</si>
  <si>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</si>
  <si>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</si>
  <si>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</si>
  <si>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</si>
  <si>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</si>
  <si>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</si>
  <si>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</si>
  <si>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</si>
  <si>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</si>
  <si>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</si>
  <si>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</si>
  <si>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</si>
  <si>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</si>
  <si>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</si>
  <si>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</si>
  <si>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</si>
  <si>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</si>
  <si>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</si>
  <si>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</si>
  <si>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</si>
  <si>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</si>
  <si>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</si>
  <si>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</si>
  <si>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</si>
  <si>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</si>
  <si>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</si>
  <si>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</si>
  <si>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</si>
  <si>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</si>
  <si>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</si>
  <si>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</si>
  <si>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</si>
  <si>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</si>
  <si>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</si>
  <si>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</si>
  <si>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</si>
  <si>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</si>
  <si>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</si>
  <si>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</si>
  <si>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</si>
  <si>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</si>
  <si>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</si>
  <si>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</si>
  <si>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</si>
  <si>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</si>
  <si>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</si>
  <si>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</si>
  <si>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</si>
  <si>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</si>
  <si>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</si>
  <si>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</si>
  <si>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</si>
  <si>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</si>
  <si>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</si>
  <si>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</si>
  <si>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</si>
  <si>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</si>
  <si>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</si>
  <si>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</si>
  <si>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</si>
  <si>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</si>
  <si>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</si>
  <si>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</si>
  <si>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</si>
  <si>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</si>
  <si>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</si>
  <si>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</si>
  <si>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</si>
  <si>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</si>
  <si>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</si>
  <si>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</si>
  <si>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</si>
  <si>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</si>
  <si>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</si>
  <si>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</si>
  <si>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</si>
  <si>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</si>
  <si>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</si>
  <si>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</si>
  <si>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</si>
  <si>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</si>
  <si>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</si>
  <si>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</si>
  <si>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</si>
  <si>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</si>
  <si>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</si>
  <si>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</si>
  <si>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</si>
  <si>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</si>
  <si>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</si>
  <si>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</si>
  <si>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</si>
  <si>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</si>
  <si>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</si>
  <si>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</si>
  <si>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</si>
  <si>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</si>
  <si>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</si>
  <si>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</si>
  <si>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</si>
  <si>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</si>
  <si>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</si>
  <si>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</si>
  <si>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</si>
  <si>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</si>
  <si>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</si>
  <si>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</si>
  <si>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</si>
  <si>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</si>
  <si>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</si>
  <si>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</si>
  <si>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</si>
  <si>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</si>
  <si>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</si>
  <si>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</si>
  <si>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</si>
  <si>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</si>
  <si>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</si>
  <si>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</si>
  <si>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</si>
  <si>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</si>
  <si>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</si>
  <si>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</si>
  <si>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</si>
  <si>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</si>
  <si>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</si>
  <si>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</si>
  <si>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</si>
  <si>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</si>
  <si>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</si>
  <si>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</si>
  <si>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</si>
  <si>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</si>
  <si>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</si>
  <si>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</si>
  <si>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</si>
  <si>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</si>
  <si>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</si>
  <si>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</si>
  <si>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</si>
  <si>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</si>
  <si>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</si>
  <si>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</si>
  <si>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</si>
  <si>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</si>
  <si>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</si>
  <si>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</si>
  <si>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</si>
  <si>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</si>
  <si>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</si>
  <si>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</si>
  <si>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</si>
  <si>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</si>
  <si>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</si>
  <si>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</si>
  <si>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</si>
  <si>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</si>
  <si>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</si>
  <si>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</si>
  <si>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</si>
  <si>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</si>
  <si>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</si>
  <si>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</si>
  <si>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</si>
  <si>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</si>
  <si>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</si>
  <si>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</si>
  <si>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</si>
  <si>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</si>
  <si>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</si>
  <si>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</si>
  <si>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</si>
  <si>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</si>
  <si>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</si>
  <si>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</si>
  <si>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</si>
  <si>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</si>
  <si>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</si>
  <si>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</si>
  <si>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</si>
  <si>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</si>
  <si>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</si>
  <si>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</si>
  <si>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</si>
  <si>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</si>
  <si>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</si>
  <si>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</si>
  <si>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</si>
  <si>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</si>
  <si>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</si>
  <si>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</si>
  <si>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</si>
  <si>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</si>
  <si>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</si>
  <si>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</si>
  <si>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</si>
  <si>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</si>
  <si>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</si>
  <si>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</si>
  <si>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</si>
  <si>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</si>
  <si>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</si>
  <si>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</si>
  <si>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</si>
  <si>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</si>
  <si>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</si>
  <si>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</si>
  <si>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</si>
  <si>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</si>
  <si>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</si>
  <si>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</si>
  <si>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</si>
  <si>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</si>
  <si>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</si>
  <si>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</si>
  <si>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</si>
  <si>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</si>
  <si>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</si>
  <si>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</si>
  <si>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</si>
  <si>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</si>
  <si>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</si>
  <si>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</si>
  <si>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</si>
  <si>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</si>
  <si>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</si>
  <si>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</si>
  <si>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</si>
  <si>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</si>
  <si>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</si>
  <si>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</si>
  <si>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</si>
  <si>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</si>
  <si>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</si>
  <si>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</si>
  <si>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</si>
  <si>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</si>
  <si>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</si>
  <si>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</si>
  <si>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</si>
  <si>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</si>
  <si>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</si>
  <si>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</si>
  <si>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</si>
  <si>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</si>
  <si>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</si>
  <si>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</si>
  <si>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</si>
  <si>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</si>
  <si>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</si>
  <si>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</si>
  <si>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</si>
  <si>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</si>
  <si>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</si>
  <si>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</si>
  <si>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</si>
  <si>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</si>
  <si>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</si>
  <si>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</si>
  <si>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</si>
  <si>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</si>
  <si>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</si>
  <si>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</si>
  <si>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</si>
  <si>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</si>
  <si>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</si>
  <si>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</si>
  <si>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</si>
  <si>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</si>
  <si>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</si>
  <si>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</si>
  <si>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</si>
  <si>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</si>
  <si>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</si>
  <si>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</si>
  <si>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</si>
  <si>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</si>
  <si>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</si>
  <si>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</si>
  <si>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</si>
  <si>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</si>
  <si>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</si>
  <si>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</si>
  <si>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</si>
  <si>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</si>
  <si>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</si>
  <si>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</si>
  <si>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</si>
  <si>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</si>
  <si>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</si>
  <si>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</si>
  <si>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</si>
  <si>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</si>
  <si>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</si>
  <si>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</si>
  <si>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</si>
  <si>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</si>
  <si>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</si>
  <si>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</si>
  <si>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</si>
  <si>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</si>
  <si>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</si>
  <si>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</si>
  <si>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</si>
  <si>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</si>
  <si>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</si>
  <si>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</si>
  <si>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</si>
  <si>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</si>
  <si>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</si>
  <si>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</si>
  <si>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</si>
  <si>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</si>
  <si>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</si>
  <si>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</si>
  <si>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</si>
  <si>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</si>
  <si>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</si>
  <si>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</si>
  <si>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</si>
  <si>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</si>
  <si>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</si>
  <si>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</si>
  <si>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</si>
  <si>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</si>
  <si>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</si>
  <si>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</si>
  <si>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</si>
  <si>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</si>
  <si>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</si>
  <si>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</si>
  <si>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</si>
  <si>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</si>
  <si>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</si>
  <si>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</si>
  <si>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</si>
  <si>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</si>
  <si>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</si>
  <si>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</si>
  <si>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</si>
  <si>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</si>
  <si>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</si>
  <si>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</si>
  <si>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</si>
  <si>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</si>
  <si>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</si>
  <si>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</si>
  <si>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</si>
  <si>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</si>
  <si>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</si>
  <si>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</si>
  <si>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</si>
  <si>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</si>
  <si>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</si>
  <si>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</si>
  <si>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</si>
  <si>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</si>
  <si>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</si>
  <si>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</si>
  <si>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</si>
  <si>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</si>
  <si>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</si>
  <si>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</si>
  <si>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</si>
  <si>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</si>
  <si>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</si>
  <si>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</si>
  <si>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</si>
  <si>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</si>
  <si>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</si>
  <si>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</si>
  <si>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</si>
  <si>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</si>
  <si>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</si>
  <si>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</si>
  <si>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</si>
  <si>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</si>
  <si>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</si>
  <si>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</si>
  <si>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</si>
  <si>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</si>
  <si>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</si>
  <si>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</si>
  <si>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</si>
  <si>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</si>
  <si>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</si>
  <si>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</si>
  <si>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</si>
  <si>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</si>
  <si>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</si>
  <si>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</si>
  <si>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</si>
  <si>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</si>
  <si>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</si>
  <si>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</si>
  <si>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</si>
  <si>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</si>
  <si>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</si>
  <si>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</si>
  <si>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</si>
  <si>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</si>
  <si>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</si>
  <si>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</si>
  <si>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</si>
  <si>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</si>
  <si>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</si>
  <si>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</si>
  <si>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</si>
  <si>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</si>
  <si>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</si>
  <si>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</si>
  <si>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</si>
  <si>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</si>
  <si>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</si>
  <si>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</si>
  <si>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</si>
  <si>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</si>
  <si>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</si>
  <si>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</si>
  <si>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</si>
  <si>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</si>
  <si>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</si>
  <si>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</si>
  <si>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</si>
  <si>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</si>
  <si>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</si>
  <si>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</si>
  <si>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</si>
  <si>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</si>
  <si>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</si>
  <si>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</si>
  <si>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</si>
  <si>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</si>
  <si>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</si>
  <si>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</si>
  <si>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</si>
  <si>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</si>
  <si>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</si>
  <si>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</si>
  <si>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</si>
  <si>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</si>
  <si>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</si>
  <si>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</si>
  <si>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</si>
  <si>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</si>
  <si>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</si>
  <si>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</si>
  <si>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</si>
  <si>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</si>
  <si>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</si>
  <si>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</si>
  <si>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</si>
  <si>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</si>
  <si>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</si>
  <si>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</si>
  <si>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</si>
  <si>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</si>
  <si>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</si>
  <si>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</si>
  <si>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</si>
  <si>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</si>
  <si>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</si>
  <si>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</si>
  <si>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</si>
  <si>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</si>
  <si>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</si>
  <si>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</si>
  <si>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</si>
  <si>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</si>
  <si>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</si>
  <si>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</si>
  <si>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</si>
  <si>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</si>
  <si>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</si>
  <si>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</si>
  <si>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</si>
  <si>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</si>
  <si>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</si>
  <si>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</si>
  <si>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</si>
  <si>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</si>
  <si>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</si>
  <si>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</si>
  <si>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</si>
  <si>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</si>
  <si>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</si>
  <si>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</si>
  <si>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</si>
  <si>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</si>
  <si>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</si>
  <si>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</si>
  <si>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</si>
  <si>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</si>
  <si>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</si>
  <si>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</si>
  <si>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</si>
  <si>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</si>
  <si>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</si>
  <si>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</si>
  <si>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</si>
  <si>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</si>
  <si>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</si>
  <si>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</si>
  <si>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</si>
  <si>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</si>
  <si>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</si>
  <si>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</si>
  <si>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</si>
  <si>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</si>
  <si>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</si>
  <si>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</si>
  <si>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</si>
  <si>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</si>
  <si>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</si>
  <si>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</si>
  <si>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</si>
  <si>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</si>
  <si>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</si>
  <si>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</si>
  <si>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</si>
  <si>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</si>
  <si>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</si>
  <si>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</si>
  <si>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</si>
  <si>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</si>
  <si>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</si>
  <si>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</si>
  <si>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</si>
  <si>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</si>
  <si>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</si>
  <si>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</si>
  <si>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</si>
  <si>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</si>
  <si>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</si>
  <si>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</si>
  <si>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</si>
  <si>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</si>
  <si>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</si>
  <si>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</si>
  <si>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</si>
  <si>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</si>
  <si>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</si>
  <si>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</si>
  <si>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</si>
  <si>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</si>
  <si>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</si>
  <si>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</si>
  <si>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</si>
  <si>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</si>
  <si>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</si>
  <si>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</si>
  <si>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</si>
  <si>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</si>
  <si>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</si>
  <si>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</si>
  <si>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</si>
  <si>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</si>
  <si>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</si>
  <si>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</si>
  <si>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</si>
  <si>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</si>
  <si>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</si>
  <si>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</si>
  <si>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</si>
  <si>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</si>
  <si>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</si>
  <si>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</si>
  <si>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</si>
  <si>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</si>
  <si>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</si>
  <si>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</si>
  <si>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</si>
  <si>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</si>
  <si>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</si>
  <si>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</si>
  <si>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</si>
  <si>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</si>
  <si>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</si>
  <si>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</si>
  <si>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</si>
  <si>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</si>
  <si>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</si>
  <si>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</si>
  <si>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</si>
  <si>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</si>
  <si>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</si>
  <si>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</si>
  <si>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</si>
  <si>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</si>
  <si>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</si>
  <si>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</si>
  <si>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</si>
  <si>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</si>
  <si>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</si>
  <si>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</si>
  <si>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</si>
  <si>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</si>
  <si>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</si>
  <si>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</si>
  <si>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</si>
  <si>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</si>
  <si>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</si>
  <si>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</si>
  <si>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</si>
  <si>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</si>
  <si>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</si>
  <si>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</si>
  <si>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</si>
  <si>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</si>
  <si>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</si>
  <si>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</si>
  <si>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</si>
  <si>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</si>
  <si>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</si>
  <si>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</si>
  <si>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</si>
  <si>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</si>
  <si>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</si>
  <si>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</si>
  <si>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</si>
  <si>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</si>
  <si>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</si>
  <si>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</si>
  <si>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</si>
  <si>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</si>
  <si>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</si>
  <si>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</si>
  <si>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</si>
  <si>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</si>
  <si>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</si>
  <si>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</si>
  <si>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</si>
  <si>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</si>
  <si>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</si>
  <si>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</si>
  <si>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</si>
  <si>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</si>
  <si>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</si>
  <si>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</si>
  <si>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</si>
  <si>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</si>
  <si>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</si>
  <si>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</si>
  <si>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</si>
  <si>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</si>
  <si>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</si>
  <si>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</si>
  <si>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</si>
  <si>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</si>
  <si>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</si>
  <si>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</si>
  <si>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</si>
  <si>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</si>
  <si>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</si>
  <si>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</si>
  <si>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</si>
  <si>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</si>
  <si>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</si>
  <si>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</si>
  <si>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</si>
  <si>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</si>
  <si>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</si>
  <si>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</si>
  <si>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</si>
  <si>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</si>
  <si>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</si>
  <si>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</si>
  <si>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</si>
  <si>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</si>
  <si>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</si>
  <si>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</si>
  <si>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</si>
  <si>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</si>
  <si>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</si>
  <si>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</si>
  <si>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</si>
  <si>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</si>
  <si>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</si>
  <si>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</si>
  <si>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</si>
  <si>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</si>
  <si>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</si>
  <si>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</si>
  <si>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</si>
  <si>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</si>
  <si>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</si>
  <si>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</si>
  <si>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</si>
  <si>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</si>
  <si>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</si>
  <si>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</si>
  <si>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</si>
  <si>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</si>
  <si>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</si>
  <si>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</si>
  <si>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</si>
  <si>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</si>
  <si>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</si>
  <si>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</si>
  <si>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</si>
  <si>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</si>
  <si>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</si>
  <si>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</si>
  <si>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</si>
  <si>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</si>
  <si>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</si>
  <si>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</si>
  <si>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</si>
  <si>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</si>
  <si>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</si>
  <si>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</si>
  <si>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</si>
  <si>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</si>
  <si>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</si>
  <si>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</si>
  <si>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</si>
  <si>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</si>
  <si>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</si>
  <si>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</si>
  <si>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</si>
  <si>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</si>
  <si>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</si>
  <si>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</si>
  <si>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</si>
  <si>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</si>
  <si>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</si>
  <si>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</si>
  <si>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</si>
  <si>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</si>
  <si>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</si>
  <si>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</si>
  <si>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</si>
  <si>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</si>
  <si>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</si>
  <si>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</si>
  <si>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</si>
  <si>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</si>
  <si>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</si>
  <si>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</si>
  <si>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</si>
  <si>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</si>
  <si>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</si>
  <si>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</si>
  <si>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</si>
  <si>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</si>
  <si>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</si>
  <si>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</si>
  <si>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</si>
  <si>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</si>
  <si>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</si>
  <si>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</si>
  <si>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</si>
  <si>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</si>
  <si>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</si>
  <si>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</si>
  <si>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</si>
  <si>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</si>
  <si>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</si>
  <si>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</si>
  <si>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</si>
  <si>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</si>
  <si>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</si>
  <si>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</si>
  <si>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</si>
  <si>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</si>
  <si>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</si>
  <si>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</si>
  <si>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</si>
  <si>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</si>
  <si>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</si>
  <si>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</si>
  <si>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</si>
  <si>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</si>
  <si>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</si>
  <si>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</si>
  <si>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</si>
  <si>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</si>
  <si>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</si>
  <si>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</si>
  <si>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</si>
  <si>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</si>
  <si>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</si>
  <si>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</si>
  <si>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</si>
  <si>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</si>
  <si>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</si>
  <si>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</si>
  <si>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</si>
  <si>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</si>
  <si>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</si>
  <si>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</si>
  <si>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</si>
  <si>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</si>
  <si>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</si>
  <si>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</si>
  <si>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</si>
  <si>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</si>
  <si>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</si>
  <si>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</si>
  <si>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</si>
  <si>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</si>
  <si>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</si>
  <si>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</si>
  <si>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</si>
  <si>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</si>
  <si>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</si>
  <si>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</si>
  <si>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</si>
  <si>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</si>
  <si>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</si>
  <si>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</si>
  <si>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</si>
  <si>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</si>
  <si>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</si>
  <si>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</si>
  <si>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</si>
  <si>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</si>
  <si>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</si>
  <si>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</si>
  <si>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</si>
  <si>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</si>
  <si>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</si>
  <si>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</si>
  <si>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</si>
  <si>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</si>
  <si>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</si>
  <si>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</si>
  <si>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</si>
  <si>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</si>
  <si>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</si>
  <si>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</si>
  <si>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</si>
  <si>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</si>
  <si>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</si>
  <si>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</si>
  <si>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</si>
  <si>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</si>
  <si>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</si>
  <si>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</si>
  <si>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</si>
  <si>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</si>
  <si>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</si>
  <si>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</si>
  <si>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</si>
  <si>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</si>
  <si>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</si>
  <si>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</si>
  <si>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</si>
  <si>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</si>
  <si>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</si>
  <si>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</si>
  <si>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</si>
  <si>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</si>
  <si>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</si>
  <si>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</si>
  <si>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</si>
  <si>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</si>
  <si>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</si>
  <si>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</si>
  <si>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</si>
  <si>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</si>
  <si>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</si>
  <si>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</si>
  <si>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</si>
  <si>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</si>
  <si>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</si>
  <si>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</si>
  <si>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</si>
  <si>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</si>
  <si>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</si>
  <si>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</si>
  <si>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</si>
  <si>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</si>
  <si>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</si>
  <si>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</si>
  <si>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</si>
  <si>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</si>
  <si>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</si>
  <si>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</si>
  <si>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</si>
  <si>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</si>
  <si>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</si>
  <si>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</si>
  <si>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</si>
  <si>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</si>
  <si>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</si>
  <si>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</si>
  <si>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</si>
  <si>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</si>
  <si>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</si>
  <si>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</si>
  <si>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</si>
  <si>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</si>
  <si>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</si>
  <si>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</si>
  <si>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</si>
  <si>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</si>
  <si>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</si>
  <si>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</si>
  <si>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</si>
  <si>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</si>
  <si>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</si>
  <si>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</si>
  <si>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</si>
  <si>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</si>
  <si>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</si>
  <si>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</si>
  <si>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</si>
  <si>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</si>
  <si>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</si>
  <si>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</si>
  <si>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</si>
  <si>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</si>
  <si>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</si>
  <si>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</si>
  <si>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</si>
  <si>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</si>
  <si>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</si>
  <si>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</si>
  <si>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</si>
  <si>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</si>
  <si>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</si>
  <si>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</si>
  <si>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</si>
  <si>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</si>
  <si>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</si>
  <si>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</si>
  <si>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</si>
  <si>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</si>
  <si>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</si>
  <si>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</si>
  <si>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</si>
  <si>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</si>
  <si>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</si>
  <si>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</si>
  <si>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</si>
  <si>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</si>
  <si>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</si>
  <si>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</si>
  <si>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</si>
  <si>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</si>
  <si>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</si>
  <si>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</si>
  <si>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</si>
  <si>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</si>
  <si>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</si>
  <si>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</si>
  <si>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</si>
  <si>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</si>
  <si>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</si>
  <si>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</si>
  <si>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</si>
  <si>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</si>
  <si>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</si>
  <si>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</si>
  <si>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</si>
  <si>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</si>
  <si>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</si>
  <si>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</si>
  <si>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</si>
  <si>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</si>
  <si>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</si>
  <si>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</si>
  <si>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</si>
  <si>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</si>
  <si>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</si>
  <si>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</si>
  <si>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</si>
  <si>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</si>
  <si>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</si>
  <si>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</si>
  <si>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</si>
  <si>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</si>
  <si>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</si>
  <si>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</si>
  <si>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</si>
  <si>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</si>
  <si>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</si>
  <si>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</si>
  <si>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</si>
  <si>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</si>
  <si>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</si>
  <si>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</si>
  <si>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</si>
  <si>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</si>
  <si>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</si>
  <si>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</si>
  <si>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</si>
  <si>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</si>
  <si>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</si>
  <si>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</si>
  <si>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</si>
  <si>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</si>
  <si>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</si>
  <si>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</si>
  <si>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</si>
  <si>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</si>
  <si>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</si>
  <si>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</si>
  <si>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</si>
  <si>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</si>
  <si>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</si>
  <si>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</si>
  <si>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</si>
  <si>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</si>
  <si>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</si>
  <si>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</si>
  <si>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</si>
  <si>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</si>
  <si>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</si>
  <si>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</si>
  <si>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</si>
  <si>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</si>
  <si>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</si>
  <si>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</si>
  <si>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</si>
  <si>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</si>
  <si>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</si>
  <si>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</si>
  <si>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</si>
  <si>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</si>
  <si>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</si>
  <si>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</si>
  <si>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</si>
  <si>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</si>
  <si>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</si>
  <si>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</si>
  <si>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</si>
  <si>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</si>
  <si>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</si>
  <si>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</si>
  <si>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</si>
  <si>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</si>
  <si>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</si>
  <si>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</si>
  <si>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</si>
  <si>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</si>
  <si>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</si>
  <si>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</si>
  <si>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</si>
  <si>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</si>
  <si>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</si>
  <si>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</si>
  <si>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</si>
  <si>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</si>
  <si>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</si>
  <si>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</si>
  <si>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</si>
  <si>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</si>
  <si>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</si>
  <si>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</si>
  <si>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</si>
  <si>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</si>
  <si>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</si>
  <si>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</si>
  <si>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</si>
  <si>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</si>
  <si>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</si>
  <si>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</si>
  <si>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</si>
  <si>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</si>
  <si>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</si>
  <si>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</si>
  <si>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</si>
  <si>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</si>
  <si>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</si>
  <si>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</si>
  <si>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</si>
  <si>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</si>
  <si>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</si>
  <si>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</si>
  <si>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</si>
  <si>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</si>
  <si>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</si>
  <si>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</si>
  <si>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</si>
  <si>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</si>
  <si>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</si>
  <si>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</si>
  <si>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</si>
  <si>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</si>
  <si>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</si>
  <si>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</si>
  <si>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</si>
  <si>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</si>
  <si>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</si>
  <si>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</si>
  <si>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</si>
  <si>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</si>
  <si>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</si>
  <si>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</si>
  <si>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</si>
  <si>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</si>
  <si>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</si>
  <si>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</si>
  <si>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</si>
  <si>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</si>
  <si>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</si>
  <si>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</si>
  <si>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</si>
  <si>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</si>
  <si>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</si>
  <si>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</si>
  <si>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</si>
  <si>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</si>
  <si>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</si>
  <si>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</si>
  <si>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</si>
  <si>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</si>
  <si>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</si>
  <si>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</si>
  <si>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</si>
  <si>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</si>
  <si>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</si>
  <si>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</si>
  <si>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</si>
  <si>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</si>
  <si>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</si>
  <si>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</si>
  <si>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</si>
  <si>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</si>
  <si>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</si>
  <si>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</si>
  <si>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</si>
  <si>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</si>
  <si>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</si>
  <si>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</si>
  <si>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</si>
  <si>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</si>
  <si>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</si>
  <si>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</si>
  <si>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</si>
  <si>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</si>
  <si>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</si>
  <si>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</si>
  <si>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</si>
  <si>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</si>
  <si>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</si>
  <si>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</si>
  <si>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</si>
  <si>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</si>
  <si>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</si>
  <si>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</si>
  <si>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</si>
  <si>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</si>
  <si>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</si>
  <si>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</si>
  <si>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</si>
  <si>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</si>
  <si>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</si>
  <si>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</si>
  <si>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</si>
  <si>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</si>
  <si>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</si>
  <si>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</si>
  <si>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</si>
  <si>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</si>
  <si>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</si>
  <si>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</si>
  <si>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</si>
  <si>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</si>
  <si>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</si>
  <si>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</si>
  <si>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</si>
  <si>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</si>
  <si>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</si>
  <si>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</si>
  <si>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</si>
  <si>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</si>
  <si>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</si>
  <si>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</si>
  <si>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</si>
  <si>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</si>
  <si>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</si>
  <si>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</si>
  <si>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</si>
  <si>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</si>
  <si>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</si>
  <si>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</si>
  <si>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</si>
  <si>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</si>
  <si>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</si>
  <si>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</si>
  <si>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</si>
  <si>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</si>
  <si>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</si>
  <si>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</si>
  <si>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</si>
  <si>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</si>
  <si>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</si>
  <si>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</si>
  <si>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</si>
  <si>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</si>
  <si>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</si>
  <si>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</si>
  <si>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</si>
  <si>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</si>
  <si>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</si>
  <si>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</si>
  <si>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</si>
  <si>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</si>
  <si>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</si>
  <si>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</si>
  <si>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</si>
  <si>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</si>
  <si>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</si>
  <si>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</si>
  <si>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</si>
  <si>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</si>
  <si>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</si>
  <si>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</si>
  <si>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</si>
  <si>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</si>
  <si>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</si>
  <si>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</si>
  <si>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</si>
  <si>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</si>
  <si>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</si>
  <si>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</si>
  <si>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</si>
  <si>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</si>
  <si>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</si>
  <si>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</si>
  <si>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</si>
  <si>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</si>
  <si>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</si>
  <si>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</si>
  <si>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</si>
  <si>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</si>
  <si>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</si>
  <si>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</si>
  <si>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</si>
  <si>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</si>
  <si>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</si>
  <si>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</si>
  <si>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</si>
  <si>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</si>
  <si>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</si>
  <si>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</si>
  <si>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</si>
  <si>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</si>
  <si>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</si>
  <si>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</si>
  <si>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</si>
  <si>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</si>
  <si>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</si>
  <si>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</si>
  <si>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</si>
  <si>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</si>
  <si>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</si>
  <si>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</si>
  <si>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</si>
  <si>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</si>
  <si>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</si>
  <si>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</si>
  <si>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</si>
  <si>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</si>
  <si>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</si>
  <si>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</si>
  <si>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</si>
  <si>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</si>
  <si>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</si>
  <si>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</si>
  <si>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</si>
  <si>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</si>
  <si>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</si>
  <si>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</si>
  <si>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</si>
  <si>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</si>
  <si>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</si>
  <si>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</si>
  <si>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</si>
  <si>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</si>
  <si>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</si>
  <si>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</si>
  <si>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</si>
  <si>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</si>
  <si>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</si>
  <si>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</si>
  <si>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</si>
  <si>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</si>
  <si>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</si>
  <si>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</si>
  <si>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</si>
  <si>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</si>
  <si>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</si>
  <si>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</si>
  <si>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</si>
  <si>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</si>
  <si>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</si>
  <si>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</si>
  <si>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</si>
  <si>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</si>
  <si>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</si>
  <si>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</si>
  <si>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</si>
  <si>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</si>
  <si>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</si>
  <si>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</si>
  <si>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</si>
  <si>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</si>
  <si>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</si>
  <si>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</si>
  <si>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</si>
  <si>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</si>
  <si>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</si>
  <si>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</si>
  <si>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</si>
  <si>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</si>
  <si>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</si>
  <si>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</si>
  <si>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</si>
  <si>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</si>
  <si>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</si>
  <si>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</si>
  <si>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</si>
  <si>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</si>
  <si>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</si>
  <si>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</si>
  <si>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</si>
  <si>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</si>
  <si>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</si>
  <si>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</si>
  <si>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</si>
  <si>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</si>
  <si>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</si>
  <si>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</si>
  <si>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</si>
  <si>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</si>
  <si>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</si>
  <si>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</si>
  <si>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</si>
  <si>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</si>
  <si>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</si>
  <si>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</si>
  <si>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</si>
  <si>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</si>
  <si>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</si>
  <si>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</si>
  <si>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</si>
  <si>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</si>
  <si>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</si>
  <si>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</si>
  <si>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</si>
  <si>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</si>
  <si>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</si>
  <si>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</si>
  <si>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</si>
  <si>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</si>
  <si>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</si>
  <si>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</si>
  <si>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</si>
  <si>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</si>
  <si>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</si>
  <si>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</si>
  <si>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</si>
  <si>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</si>
  <si>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</si>
  <si>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</si>
  <si>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</si>
  <si>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</si>
  <si>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</si>
  <si>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</si>
  <si>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</si>
  <si>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</si>
  <si>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</si>
  <si>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</si>
  <si>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</si>
  <si>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</si>
  <si>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</si>
  <si>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</si>
  <si>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</si>
  <si>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</si>
  <si>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</si>
  <si>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</si>
  <si>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</si>
  <si>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</si>
  <si>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</si>
  <si>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</si>
  <si>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</si>
  <si>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</si>
  <si>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</si>
  <si>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</si>
  <si>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</si>
  <si>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</si>
  <si>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</si>
  <si>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</si>
  <si>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</si>
  <si>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</si>
  <si>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</si>
  <si>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</si>
  <si>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</si>
  <si>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</si>
  <si>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</si>
  <si>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</si>
  <si>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</si>
  <si>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</si>
  <si>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</si>
  <si>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</si>
  <si>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</si>
  <si>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</si>
  <si>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</si>
  <si>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</si>
  <si>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</si>
  <si>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</si>
  <si>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</si>
  <si>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</si>
  <si>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</si>
  <si>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</si>
  <si>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</si>
  <si>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</si>
  <si>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</si>
  <si>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</si>
  <si>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</si>
  <si>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</si>
  <si>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</si>
  <si>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</si>
  <si>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</si>
  <si>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</si>
  <si>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</si>
  <si>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</si>
  <si>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</si>
  <si>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</si>
  <si>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</si>
  <si>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</si>
  <si>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</si>
  <si>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</si>
  <si>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</si>
  <si>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</si>
  <si>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</si>
  <si>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</si>
  <si>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</si>
  <si>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</si>
  <si>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</si>
  <si>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</si>
  <si>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</si>
  <si>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</si>
  <si>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</si>
  <si>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</si>
  <si>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</si>
  <si>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</si>
  <si>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</si>
  <si>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</si>
  <si>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</si>
  <si>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</si>
  <si>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</si>
  <si>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</si>
  <si>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</si>
  <si>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</si>
  <si>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</si>
  <si>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</si>
  <si>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</si>
  <si>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</si>
  <si>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</si>
  <si>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</si>
  <si>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</si>
  <si>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</si>
  <si>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</si>
  <si>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</si>
  <si>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</si>
  <si>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</si>
  <si>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</si>
  <si>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</si>
  <si>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</si>
  <si>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</si>
  <si>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</si>
  <si>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</si>
  <si>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</si>
  <si>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</si>
  <si>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</si>
  <si>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</si>
  <si>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</si>
  <si>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</si>
  <si>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</si>
  <si>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</si>
  <si>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</si>
  <si>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</si>
  <si>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</si>
  <si>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</si>
  <si>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</si>
  <si>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</si>
  <si>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</si>
  <si>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</si>
  <si>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</si>
  <si>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</si>
  <si>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</si>
  <si>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</si>
  <si>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</si>
  <si>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</si>
  <si>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</si>
  <si>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</si>
  <si>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</si>
  <si>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</si>
  <si>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</si>
  <si>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</si>
  <si>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</si>
  <si>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</si>
  <si>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</si>
  <si>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</si>
  <si>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</si>
  <si>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</si>
  <si>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</si>
  <si>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</si>
  <si>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</si>
  <si>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</si>
  <si>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</si>
  <si>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</si>
  <si>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</si>
  <si>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</si>
  <si>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</si>
  <si>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</si>
  <si>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</si>
  <si>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</si>
  <si>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</si>
  <si>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</si>
  <si>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</si>
  <si>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</si>
  <si>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</si>
  <si>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</si>
  <si>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</si>
  <si>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</si>
  <si>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</si>
  <si>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</si>
  <si>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</si>
  <si>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</si>
  <si>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</si>
  <si>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</si>
  <si>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</si>
  <si>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</si>
  <si>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</si>
  <si>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</si>
  <si>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</si>
  <si>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</si>
  <si>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Values for Display</t>
  </si>
  <si>
    <t>Order</t>
  </si>
  <si>
    <t>Avg Rating</t>
  </si>
  <si>
    <t>Avg Days</t>
  </si>
  <si>
    <t>Row Labels</t>
  </si>
  <si>
    <t>Grand Total</t>
  </si>
  <si>
    <t>Column Labels</t>
  </si>
  <si>
    <t>Female</t>
  </si>
  <si>
    <t>Male</t>
  </si>
  <si>
    <t>Other</t>
  </si>
  <si>
    <t>Unknown</t>
  </si>
  <si>
    <t>Display Values</t>
  </si>
  <si>
    <t>6-10</t>
  </si>
  <si>
    <t>More than 10</t>
  </si>
  <si>
    <t>Kpis</t>
  </si>
  <si>
    <t>Trend In last 13 weeks</t>
  </si>
  <si>
    <t>How customers like to buy?</t>
  </si>
  <si>
    <t>Which product are popular?</t>
  </si>
  <si>
    <t>Gender split</t>
  </si>
  <si>
    <t>Where do our customers live? - Geographical analysis</t>
  </si>
  <si>
    <t>Map Chart Stuff (Quantity)</t>
  </si>
  <si>
    <t>Map Chart Stuff (Amount)</t>
  </si>
  <si>
    <t>How long we take to ship the order?</t>
  </si>
  <si>
    <t>Satisfaction Analysis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</si>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</sst>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3">
    <font>
      <sz val="11"/>
      <color theme="1"/>
      <name val="Aptos Narrow"/>
      <family val="2"/>
      <scheme val="minor"/>
    </font>
    <font>
      <b/>
      <sz val="11"/>
      <color theme="1"/>
      <name val="Aptos Narrow"/>
      <family val="2"/>
      <scheme val="minor"/>
    </font>
    <font>
      <b/>
      <sz val="11"/>
      <color theme="1"/>
      <name val="Aptos Narrow"/>
      <scheme val="minor"/>
    </font>
  </fonts>
  <fills count="3">
    <fill>
      <patternFill patternType="none"/>
    </fill>
    <fill>
      <patternFill patternType="gray125"/>
    </fill>
    <fill>
      <patternFill patternType="solid">
        <fgColor theme="9"/>
        <bgColor indexed="64"/>
      </patternFill>
    </fill>
  </fills>
  <borders count="3">
    <border>
      <left/>
      <right/>
      <top/>
      <bottom/>
      <diagonal/>
    </border>
    <border>
      <left/>
      <right/>
      <top/>
      <bottom style="thin">
        <color theme="0"/>
      </bottom>
      <diagonal/>
    </border>
    <border>
      <left style="thick">
        <color theme="0"/>
      </left>
      <right style="thick">
        <color theme="0"/>
      </right>
      <top style="thick">
        <color theme="0"/>
      </top>
      <bottom style="thick">
        <color theme="0"/>
      </bottom>
      <diagonal/>
    </border>
  </borders>
  <cellStyleXfs count="1">
    <xf numFmtId="0" fontId="0" fillId="0" borderId="0"/>
  </cellStyleXfs>
  <cellXfs count="1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165" fontId="0" fillId="0" borderId="2" xfId="0" applyNumberFormat="1" applyBorder="1"/>
  </cellXfs>
  <cellStyles count="1">
    <cellStyle name="Normal" xfId="0" builtinId="0"/>
  </cellStyles>
  <dxfs count="41">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20" formatCode="d\-mmm\-yy"/>
    </dxf>
    <dxf>
      <numFmt numFmtId="20" formatCode="d\-mmm\-yy"/>
    </dxf>
    <dxf>
      <numFmt numFmtId="164" formatCode="&quot;$&quot;#,##0"/>
    </dxf>
    <dxf>
      <numFmt numFmtId="164" formatCode="&quot;$&quot;#,##0"/>
    </dxf>
    <dxf>
      <numFmt numFmtId="164" formatCode="&quot;$&quot;#,##0"/>
    </dxf>
  </dxfs>
  <tableStyles count="0" defaultTableStyle="TableStyleMedium2" defaultPivotStyle="PivotStyleLight16"/>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[ecommerce-customer-sales-dashboard.xlsx]Pivots!PivotTrends</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b="1"/>
              <a:t>Last 13</a:t>
            </a:r>
            <a:r>
              <a:rPr lang="en-US" sz="1100" b="1" baseline="0"/>
              <a:t> Week Trends - Qty &amp; Amount</a:t>
            </a:r>
            <a:endParaRPr lang="en-US" sz="1100"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50000"/>
              </a:schemeClr>
            </a:solidFill>
            <a:round/>
          </a:ln>
          <a:effectLst/>
        </c:spPr>
        <c:marker>
          <c:symbol val="circle"/>
          <c:size val="5"/>
          <c:spPr>
            <a:solidFill>
              <a:schemeClr val="accent2"/>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Sum of Quantity</c:v>
                </c:pt>
              </c:strCache>
            </c:strRef>
          </c:tx>
          <c:spPr>
            <a:ln w="28575" cap="rnd">
              <a:solidFill>
                <a:schemeClr val="accent6">
                  <a:lumMod val="50000"/>
                </a:schemeClr>
              </a:solidFill>
              <a:round/>
            </a:ln>
            <a:effectLst/>
          </c:spPr>
          <c:marker>
            <c:symbol val="circle"/>
            <c:size val="5"/>
            <c:spPr>
              <a:solidFill>
                <a:schemeClr val="accent2"/>
              </a:solidFill>
              <a:ln w="9525">
                <a:solidFill>
                  <a:schemeClr val="accent6">
                    <a:lumMod val="50000"/>
                  </a:schemeClr>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General</c:formatCode>
                <c:ptCount val="13"/>
                <c:pt idx="0">
                  <c:v>65</c:v>
                </c:pt>
                <c:pt idx="1">
                  <c:v>15</c:v>
                </c:pt>
                <c:pt idx="2">
                  <c:v>22</c:v>
                </c:pt>
                <c:pt idx="3">
                  <c:v>43</c:v>
                </c:pt>
                <c:pt idx="4">
                  <c:v>14</c:v>
                </c:pt>
                <c:pt idx="5">
                  <c:v>46</c:v>
                </c:pt>
                <c:pt idx="6">
                  <c:v>36</c:v>
                </c:pt>
                <c:pt idx="7">
                  <c:v>34</c:v>
                </c:pt>
                <c:pt idx="8">
                  <c:v>56</c:v>
                </c:pt>
                <c:pt idx="9">
                  <c:v>21</c:v>
                </c:pt>
                <c:pt idx="10">
                  <c:v>46</c:v>
                </c:pt>
                <c:pt idx="11">
                  <c:v>27</c:v>
                </c:pt>
                <c:pt idx="12">
                  <c:v>54</c:v>
                </c:pt>
              </c:numCache>
            </c:numRef>
          </c:val>
          <c:smooth val="0"/>
          <c:extLst>
            <c:ext xmlns:c16="http://schemas.microsoft.com/office/drawing/2014/chart" uri="{C3380CC4-5D6E-409C-BE32-E72D297353CC}">
              <c16:uniqueId val="{00000000-F7DC-4CB5-9306-EE85DA26D804}"/>
            </c:ext>
          </c:extLst>
        </c:ser>
        <c:dLbls>
          <c:showLegendKey val="0"/>
          <c:showVal val="0"/>
          <c:showCatName val="0"/>
          <c:showSerName val="0"/>
          <c:showPercent val="0"/>
          <c:showBubbleSize val="0"/>
        </c:dLbls>
        <c:marker val="1"/>
        <c:smooth val="0"/>
        <c:axId val="918698736"/>
        <c:axId val="918699568"/>
      </c:lineChart>
      <c:lineChart>
        <c:grouping val="standard"/>
        <c:varyColors val="0"/>
        <c:ser>
          <c:idx val="1"/>
          <c:order val="1"/>
          <c:tx>
            <c:strRef>
              <c:f>Pivots!$C$9</c:f>
              <c:strCache>
                <c:ptCount val="1"/>
                <c:pt idx="0">
                  <c:v>Sum of Amount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"$"#,##0</c:formatCode>
                <c:ptCount val="13"/>
                <c:pt idx="0">
                  <c:v>7137.5999999999995</c:v>
                </c:pt>
                <c:pt idx="1">
                  <c:v>563.40000000000009</c:v>
                </c:pt>
                <c:pt idx="2">
                  <c:v>979.19999999999982</c:v>
                </c:pt>
                <c:pt idx="3">
                  <c:v>1385.2</c:v>
                </c:pt>
                <c:pt idx="4">
                  <c:v>894.5</c:v>
                </c:pt>
                <c:pt idx="5">
                  <c:v>2224.7000000000003</c:v>
                </c:pt>
                <c:pt idx="6">
                  <c:v>1471.2000000000003</c:v>
                </c:pt>
                <c:pt idx="7">
                  <c:v>1754</c:v>
                </c:pt>
                <c:pt idx="8">
                  <c:v>1715.3999999999999</c:v>
                </c:pt>
                <c:pt idx="9">
                  <c:v>1307.5999999999999</c:v>
                </c:pt>
                <c:pt idx="10">
                  <c:v>3206.2999999999997</c:v>
                </c:pt>
                <c:pt idx="11">
                  <c:v>3210.3</c:v>
                </c:pt>
                <c:pt idx="12">
                  <c:v>2097.9</c:v>
                </c:pt>
              </c:numCache>
            </c:numRef>
          </c:val>
          <c:smooth val="0"/>
          <c:extLst>
            <c:ext xmlns:c16="http://schemas.microsoft.com/office/drawing/2014/chart" uri="{C3380CC4-5D6E-409C-BE32-E72D297353CC}">
              <c16:uniqueId val="{00000001-F7DC-4CB5-9306-EE85DA26D804}"/>
            </c:ext>
          </c:extLst>
        </c:ser>
        <c:dLbls>
          <c:showLegendKey val="0"/>
          <c:showVal val="0"/>
          <c:showCatName val="0"/>
          <c:showSerName val="0"/>
          <c:showPercent val="0"/>
          <c:showBubbleSize val="0"/>
        </c:dLbls>
        <c:marker val="1"/>
        <c:smooth val="0"/>
        <c:axId val="1097523520"/>
        <c:axId val="1097522688"/>
      </c:lineChart>
      <c:catAx>
        <c:axId val="918698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699568"/>
        <c:crosses val="autoZero"/>
        <c:auto val="1"/>
        <c:lblAlgn val="ctr"/>
        <c:lblOffset val="100"/>
        <c:noMultiLvlLbl val="0"/>
      </c:catAx>
      <c:valAx>
        <c:axId val="91869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698736"/>
        <c:crosses val="autoZero"/>
        <c:crossBetween val="between"/>
      </c:valAx>
      <c:valAx>
        <c:axId val="1097522688"/>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523520"/>
        <c:crosses val="max"/>
        <c:crossBetween val="between"/>
      </c:valAx>
      <c:catAx>
        <c:axId val="1097523520"/>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522688"/>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[ecommerce-customer-sales-dashboard.xlsx]Pivots!PivotQuantity</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i="0" baseline="0">
                <a:effectLst/>
              </a:rPr>
              <a:t>How many they buy?</a:t>
            </a:r>
            <a:endParaRPr lang="en-US" sz="1100">
              <a:effectLst/>
            </a:endParaRPr>
          </a:p>
        </c:rich>
      </c:tx>
      <c:layout>
        <c:manualLayout>
          <c:xMode val="edge"/>
          <c:yMode val="edge"/>
          <c:x val="0.34700229585395787"/>
          <c:y val="5.460750853242320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Pivots!$B$30</c:f>
              <c:strCache>
                <c:ptCount val="1"/>
                <c:pt idx="0">
                  <c:v>Total</c:v>
                </c:pt>
              </c:strCache>
            </c:strRef>
          </c:tx>
          <c:spPr>
            <a:solidFill>
              <a:schemeClr val="accent6">
                <a:lumMod val="50000"/>
              </a:schemeClr>
            </a:solidFill>
            <a:ln>
              <a:solidFill>
                <a:schemeClr val="bg1"/>
              </a:solidFill>
            </a:ln>
            <a:effectLst/>
          </c:spPr>
          <c:invertIfNegative val="0"/>
          <c:cat>
            <c:strRef>
              <c:f>Pivots!$A$31:$A$38</c:f>
              <c:strCache>
                <c:ptCount val="7"/>
                <c:pt idx="0">
                  <c:v>1</c:v>
                </c:pt>
                <c:pt idx="1">
                  <c:v>2</c:v>
                </c:pt>
                <c:pt idx="2">
                  <c:v>3</c:v>
                </c:pt>
                <c:pt idx="3">
                  <c:v>4</c:v>
                </c:pt>
                <c:pt idx="4">
                  <c:v>5</c:v>
                </c:pt>
                <c:pt idx="5">
                  <c:v>6-10</c:v>
                </c:pt>
                <c:pt idx="6">
                  <c:v>More than 10</c:v>
                </c:pt>
              </c:strCache>
            </c:strRef>
          </c:cat>
          <c:val>
            <c:numRef>
              <c:f>Pivots!$B$31:$B$38</c:f>
              <c:numCache>
                <c:formatCode>General</c:formatCode>
                <c:ptCount val="7"/>
                <c:pt idx="0">
                  <c:v>19</c:v>
                </c:pt>
                <c:pt idx="1">
                  <c:v>25</c:v>
                </c:pt>
                <c:pt idx="2">
                  <c:v>21</c:v>
                </c:pt>
                <c:pt idx="3">
                  <c:v>11</c:v>
                </c:pt>
                <c:pt idx="4">
                  <c:v>8</c:v>
                </c:pt>
                <c:pt idx="5">
                  <c:v>18</c:v>
                </c:pt>
                <c:pt idx="6">
                  <c:v>7</c:v>
                </c:pt>
              </c:numCache>
            </c:numRef>
          </c:val>
          <c:extLst>
            <c:ext xmlns:c16="http://schemas.microsoft.com/office/drawing/2014/chart" uri="{C3380CC4-5D6E-409C-BE32-E72D297353CC}">
              <c16:uniqueId val="{00000000-EEAA-433C-B1C0-067C168DFE0A}"/>
            </c:ext>
          </c:extLst>
        </c:ser>
        <c:dLbls>
          <c:showLegendKey val="0"/>
          <c:showVal val="0"/>
          <c:showCatName val="0"/>
          <c:showSerName val="0"/>
          <c:showPercent val="0"/>
          <c:showBubbleSize val="0"/>
        </c:dLbls>
        <c:gapWidth val="0"/>
        <c:overlap val="-27"/>
        <c:axId val="915607376"/>
        <c:axId val="813545408"/>
      </c:barChart>
      <c:catAx>
        <c:axId val="91560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45408"/>
        <c:crosses val="autoZero"/>
        <c:auto val="1"/>
        <c:lblAlgn val="ctr"/>
        <c:lblOffset val="100"/>
        <c:noMultiLvlLbl val="0"/>
      </c:catAx>
      <c:valAx>
        <c:axId val="81354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0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[ecommerce-customer-sales-dashboard.xlsx]Pivots!PivotProduct</c:name>
    <c:fmtId val="27"/>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sz="1100" b="1"/>
              <a:t>Which Products are</a:t>
            </a:r>
            <a:r>
              <a:rPr lang="en-US" sz="1100" b="1" baseline="0"/>
              <a:t> popular? Breakdown by Gender</a:t>
            </a:r>
            <a:endParaRPr lang="en-US" sz="1100" b="1"/>
          </a:p>
        </c:rich>
      </c:tx>
      <c:layout>
        <c:manualLayout>
          <c:xMode val="edge"/>
          <c:yMode val="edge"/>
          <c:x val="2.9755872566138469E-2"/>
          <c:y val="2.0460358056265986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Pivots!$B$43:$B$44</c:f>
              <c:strCache>
                <c:ptCount val="1"/>
                <c:pt idx="0">
                  <c:v>Female</c:v>
                </c:pt>
              </c:strCache>
            </c:strRef>
          </c:tx>
          <c:spPr>
            <a:solidFill>
              <a:schemeClr val="accent6">
                <a:lumMod val="50000"/>
              </a:schemeClr>
            </a:solidFill>
            <a:ln>
              <a:noFill/>
            </a:ln>
            <a:effectLst/>
          </c:spPr>
          <c:invertIfNegative val="0"/>
          <c:cat>
            <c:strRef>
              <c:f>Pivots!$A$45:$A$65</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Pivots!$B$45:$B$65</c:f>
              <c:numCache>
                <c:formatCode>General</c:formatCode>
                <c:ptCount val="20"/>
                <c:pt idx="0">
                  <c:v>122</c:v>
                </c:pt>
                <c:pt idx="1">
                  <c:v>49</c:v>
                </c:pt>
                <c:pt idx="2">
                  <c:v>92</c:v>
                </c:pt>
                <c:pt idx="3">
                  <c:v>82</c:v>
                </c:pt>
                <c:pt idx="4">
                  <c:v>73</c:v>
                </c:pt>
                <c:pt idx="5">
                  <c:v>53</c:v>
                </c:pt>
                <c:pt idx="6">
                  <c:v>65</c:v>
                </c:pt>
                <c:pt idx="7">
                  <c:v>28</c:v>
                </c:pt>
                <c:pt idx="8">
                  <c:v>38</c:v>
                </c:pt>
                <c:pt idx="9">
                  <c:v>9</c:v>
                </c:pt>
                <c:pt idx="10">
                  <c:v>32</c:v>
                </c:pt>
                <c:pt idx="11">
                  <c:v>24</c:v>
                </c:pt>
                <c:pt idx="12">
                  <c:v>12</c:v>
                </c:pt>
                <c:pt idx="13">
                  <c:v>22</c:v>
                </c:pt>
                <c:pt idx="14">
                  <c:v>5</c:v>
                </c:pt>
                <c:pt idx="15">
                  <c:v>11</c:v>
                </c:pt>
                <c:pt idx="16">
                  <c:v>9</c:v>
                </c:pt>
                <c:pt idx="17">
                  <c:v>7</c:v>
                </c:pt>
              </c:numCache>
            </c:numRef>
          </c:val>
          <c:extLst>
            <c:ext xmlns:c16="http://schemas.microsoft.com/office/drawing/2014/chart" uri="{C3380CC4-5D6E-409C-BE32-E72D297353CC}">
              <c16:uniqueId val="{00000000-B0F0-4E2C-B849-B27646187932}"/>
            </c:ext>
          </c:extLst>
        </c:ser>
        <c:ser>
          <c:idx val="1"/>
          <c:order val="1"/>
          <c:tx>
            <c:strRef>
              <c:f>Pivots!$C$43:$C$44</c:f>
              <c:strCache>
                <c:ptCount val="1"/>
                <c:pt idx="0">
                  <c:v>Male</c:v>
                </c:pt>
              </c:strCache>
            </c:strRef>
          </c:tx>
          <c:spPr>
            <a:solidFill>
              <a:schemeClr val="accent4"/>
            </a:solidFill>
            <a:ln>
              <a:noFill/>
            </a:ln>
            <a:effectLst/>
          </c:spPr>
          <c:invertIfNegative val="0"/>
          <c:cat>
            <c:strRef>
              <c:f>Pivots!$A$45:$A$65</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Pivots!$C$45:$C$65</c:f>
              <c:numCache>
                <c:formatCode>General</c:formatCode>
                <c:ptCount val="20"/>
                <c:pt idx="0">
                  <c:v>82</c:v>
                </c:pt>
                <c:pt idx="1">
                  <c:v>79</c:v>
                </c:pt>
                <c:pt idx="2">
                  <c:v>38</c:v>
                </c:pt>
                <c:pt idx="3">
                  <c:v>7</c:v>
                </c:pt>
                <c:pt idx="4">
                  <c:v>22</c:v>
                </c:pt>
                <c:pt idx="5">
                  <c:v>32</c:v>
                </c:pt>
                <c:pt idx="6">
                  <c:v>17</c:v>
                </c:pt>
                <c:pt idx="7">
                  <c:v>55</c:v>
                </c:pt>
                <c:pt idx="8">
                  <c:v>33</c:v>
                </c:pt>
                <c:pt idx="9">
                  <c:v>33</c:v>
                </c:pt>
                <c:pt idx="10">
                  <c:v>10</c:v>
                </c:pt>
                <c:pt idx="11">
                  <c:v>9</c:v>
                </c:pt>
                <c:pt idx="12">
                  <c:v>19</c:v>
                </c:pt>
                <c:pt idx="13">
                  <c:v>7</c:v>
                </c:pt>
                <c:pt idx="14">
                  <c:v>20</c:v>
                </c:pt>
                <c:pt idx="15">
                  <c:v>10</c:v>
                </c:pt>
                <c:pt idx="17">
                  <c:v>3</c:v>
                </c:pt>
                <c:pt idx="18">
                  <c:v>2</c:v>
                </c:pt>
                <c:pt idx="19">
                  <c:v>1</c:v>
                </c:pt>
              </c:numCache>
            </c:numRef>
          </c:val>
          <c:extLst>
            <c:ext xmlns:c16="http://schemas.microsoft.com/office/drawing/2014/chart" uri="{C3380CC4-5D6E-409C-BE32-E72D297353CC}">
              <c16:uniqueId val="{00000001-B0F0-4E2C-B849-B27646187932}"/>
            </c:ext>
          </c:extLst>
        </c:ser>
        <c:ser>
          <c:idx val="2"/>
          <c:order val="2"/>
          <c:tx>
            <c:strRef>
              <c:f>Pivots!$D$43:$D$44</c:f>
              <c:strCache>
                <c:ptCount val="1"/>
                <c:pt idx="0">
                  <c:v>Other</c:v>
                </c:pt>
              </c:strCache>
            </c:strRef>
          </c:tx>
          <c:spPr>
            <a:solidFill>
              <a:schemeClr val="accent2">
                <a:lumMod val="75000"/>
              </a:schemeClr>
            </a:solidFill>
            <a:ln>
              <a:noFill/>
            </a:ln>
            <a:effectLst/>
          </c:spPr>
          <c:invertIfNegative val="0"/>
          <c:cat>
            <c:strRef>
              <c:f>Pivots!$A$45:$A$65</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Pivots!$D$45:$D$65</c:f>
              <c:numCache>
                <c:formatCode>General</c:formatCode>
                <c:ptCount val="20"/>
                <c:pt idx="0">
                  <c:v>1</c:v>
                </c:pt>
                <c:pt idx="5">
                  <c:v>6</c:v>
                </c:pt>
                <c:pt idx="9">
                  <c:v>7</c:v>
                </c:pt>
                <c:pt idx="16">
                  <c:v>3</c:v>
                </c:pt>
              </c:numCache>
            </c:numRef>
          </c:val>
          <c:extLst>
            <c:ext xmlns:c16="http://schemas.microsoft.com/office/drawing/2014/chart" uri="{C3380CC4-5D6E-409C-BE32-E72D297353CC}">
              <c16:uniqueId val="{00000002-B0F0-4E2C-B849-B27646187932}"/>
            </c:ext>
          </c:extLst>
        </c:ser>
        <c:ser>
          <c:idx val="3"/>
          <c:order val="3"/>
          <c:tx>
            <c:strRef>
              <c:f>Pivots!$E$43:$E$44</c:f>
              <c:strCache>
                <c:ptCount val="1"/>
                <c:pt idx="0">
                  <c:v>Unknown</c:v>
                </c:pt>
              </c:strCache>
            </c:strRef>
          </c:tx>
          <c:spPr>
            <a:solidFill>
              <a:schemeClr val="tx2">
                <a:lumMod val="50000"/>
                <a:lumOff val="50000"/>
              </a:schemeClr>
            </a:solidFill>
            <a:ln>
              <a:noFill/>
            </a:ln>
            <a:effectLst/>
          </c:spPr>
          <c:invertIfNegative val="0"/>
          <c:cat>
            <c:strRef>
              <c:f>Pivots!$A$45:$A$65</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Pivots!$E$45:$E$65</c:f>
              <c:numCache>
                <c:formatCode>General</c:formatCode>
                <c:ptCount val="20"/>
                <c:pt idx="0">
                  <c:v>35</c:v>
                </c:pt>
                <c:pt idx="1">
                  <c:v>105</c:v>
                </c:pt>
                <c:pt idx="3">
                  <c:v>10</c:v>
                </c:pt>
                <c:pt idx="4">
                  <c:v>2</c:v>
                </c:pt>
                <c:pt idx="6">
                  <c:v>6</c:v>
                </c:pt>
                <c:pt idx="7">
                  <c:v>2</c:v>
                </c:pt>
                <c:pt idx="8">
                  <c:v>10</c:v>
                </c:pt>
                <c:pt idx="9">
                  <c:v>3</c:v>
                </c:pt>
                <c:pt idx="11">
                  <c:v>4</c:v>
                </c:pt>
                <c:pt idx="16">
                  <c:v>9</c:v>
                </c:pt>
              </c:numCache>
            </c:numRef>
          </c:val>
          <c:extLst>
            <c:ext xmlns:c16="http://schemas.microsoft.com/office/drawing/2014/chart" uri="{C3380CC4-5D6E-409C-BE32-E72D297353CC}">
              <c16:uniqueId val="{00000003-B0F0-4E2C-B849-B27646187932}"/>
            </c:ext>
          </c:extLst>
        </c:ser>
        <c:dLbls>
          <c:showLegendKey val="0"/>
          <c:showVal val="0"/>
          <c:showCatName val="0"/>
          <c:showSerName val="0"/>
          <c:showPercent val="0"/>
          <c:showBubbleSize val="0"/>
        </c:dLbls>
        <c:gapWidth val="10"/>
        <c:overlap val="100"/>
        <c:axId val="918694576"/>
        <c:axId val="918697488"/>
      </c:barChart>
      <c:catAx>
        <c:axId val="918694576"/>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697488"/>
        <c:crosses val="autoZero"/>
        <c:auto val="1"/>
        <c:lblAlgn val="ctr"/>
        <c:lblOffset val="100"/>
        <c:noMultiLvlLbl val="0"/>
      </c:catAx>
      <c:valAx>
        <c:axId val="9186974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694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[ecommerce-customer-sales-dashboard.xlsx]Pivots!PivotGender</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w="19050">
            <a:solidFill>
              <a:schemeClr val="lt1"/>
            </a:solidFill>
          </a:ln>
          <a:effectLst/>
        </c:spPr>
        <c:dLbl>
          <c:idx val="0"/>
          <c:layout>
            <c:manualLayout>
              <c:x val="0.14459298494479242"/>
              <c:y val="-6.377012122039658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F2BC7F53-F43E-4E3B-8423-CA852B4BE286}" type="CATEGORYNAME">
                  <a:rPr lang="en-US"/>
                  <a:pPr>
                    <a:defRPr/>
                  </a:pPr>
                  <a:t>[CATEGORY NAME]</a:t>
                </a:fld>
                <a:r>
                  <a:rPr lang="en-US" baseline="0"/>
                  <a:t>, </a:t>
                </a:r>
                <a:fld id="{5522CFC7-AD42-462C-86C0-FBD1D4331550}" type="VALUE">
                  <a:rPr lang="en-US" baseline="0"/>
                  <a:pPr>
                    <a:defRPr/>
                  </a:pPr>
                  <a:t>[VALUE]</a:t>
                </a:fld>
                <a:r>
                  <a:rPr lang="en-US" baseline="0"/>
                  <a:t>, </a:t>
                </a:r>
              </a:p>
              <a:p>
                <a:pPr>
                  <a:defRPr/>
                </a:pPr>
                <a:fld id="{81C4F53D-3F26-4048-BAC9-A0276E1D3372}" type="PERCENTAGE">
                  <a:rPr lang="en-US" baseline="0"/>
                  <a:pPr>
                    <a:defRPr/>
                  </a:pPr>
                  <a:t>[PERCENTAGE]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101468557655185"/>
                  <c:h val="0.41807352115667623"/>
                </c:manualLayout>
              </c15:layout>
              <c15:dlblFieldTable/>
              <c15:showDataLabelsRange val="0"/>
            </c:ext>
          </c:extLst>
        </c:dLbl>
      </c:pivotFmt>
      <c:pivotFmt>
        <c:idx val="8"/>
        <c:spPr>
          <a:solidFill>
            <a:schemeClr val="accent4">
              <a:lumMod val="75000"/>
            </a:schemeClr>
          </a:solidFill>
          <a:ln w="19050">
            <a:solidFill>
              <a:schemeClr val="lt1"/>
            </a:solidFill>
          </a:ln>
          <a:effectLst/>
        </c:spPr>
        <c:dLbl>
          <c:idx val="0"/>
          <c:layout>
            <c:manualLayout>
              <c:x val="-0.1359773371104816"/>
              <c:y val="-1.987133154125955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05290EC-7A27-4E73-A70B-0415C09A0F9D}" type="CATEGORYNAME">
                  <a:rPr lang="en-US"/>
                  <a:pPr>
                    <a:defRPr/>
                  </a:pPr>
                  <a:t>[CATEGORY NAME]</a:t>
                </a:fld>
                <a:r>
                  <a:rPr lang="en-US" baseline="0"/>
                  <a:t>,</a:t>
                </a:r>
              </a:p>
              <a:p>
                <a:pPr>
                  <a:defRPr/>
                </a:pPr>
                <a:r>
                  <a:rPr lang="en-US" baseline="0"/>
                  <a:t> </a:t>
                </a:r>
                <a:fld id="{45427850-D80A-47DF-A0B1-8B97D2B41016}" type="VALUE">
                  <a:rPr lang="en-US" baseline="0"/>
                  <a:pPr>
                    <a:defRPr/>
                  </a:pPr>
                  <a:t>[VALUE]</a:t>
                </a:fld>
                <a:r>
                  <a:rPr lang="en-US" baseline="0"/>
                  <a:t>, </a:t>
                </a:r>
              </a:p>
              <a:p>
                <a:pPr>
                  <a:defRPr/>
                </a:pPr>
                <a:fld id="{FAF0E577-2E0C-42B4-90AF-62BFCA282878}" type="PERCENTAGE">
                  <a:rPr lang="en-US" baseline="0"/>
                  <a:pPr>
                    <a:defRPr/>
                  </a:pPr>
                  <a:t>[PERCENTAGE]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606310399583701"/>
                  <c:h val="0.44766375715341944"/>
                </c:manualLayout>
              </c15:layout>
              <c15:dlblFieldTable/>
              <c15:showDataLabelsRange val="0"/>
            </c:ext>
          </c:extLst>
        </c:dLbl>
      </c:pivotFmt>
      <c:pivotFmt>
        <c:idx val="9"/>
        <c:spPr>
          <a:solidFill>
            <a:schemeClr val="accent1">
              <a:lumMod val="50000"/>
            </a:schemeClr>
          </a:solidFill>
          <a:ln w="19050">
            <a:solidFill>
              <a:schemeClr val="lt1"/>
            </a:solidFill>
          </a:ln>
          <a:effectLst/>
        </c:spPr>
        <c:dLbl>
          <c:idx val="0"/>
          <c:layout>
            <c:manualLayout>
              <c:x val="-8.9114769744691014E-2"/>
              <c:y val="-8.59704808097823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8D42468-D87F-4CBB-850D-A0B3F9C36224}" type="CATEGORYNAME">
                  <a:rPr lang="en-US"/>
                  <a:pPr>
                    <a:defRPr/>
                  </a:pPr>
                  <a:t>[CATEGORY NAME]</a:t>
                </a:fld>
                <a:r>
                  <a:rPr lang="en-US" baseline="0"/>
                  <a:t>, </a:t>
                </a:r>
                <a:fld id="{AD85C610-CAD6-49D0-B438-DAED46A861E3}" type="VALUE">
                  <a:rPr lang="en-US" baseline="0"/>
                  <a:pPr>
                    <a:defRPr/>
                  </a:pPr>
                  <a:t>[VALUE]</a:t>
                </a:fld>
                <a:r>
                  <a:rPr lang="en-US" baseline="0"/>
                  <a:t>, </a:t>
                </a:r>
              </a:p>
              <a:p>
                <a:pPr>
                  <a:defRPr/>
                </a:pPr>
                <a:fld id="{C561344D-F825-4472-97DE-E94EF5394E7C}" type="PERCENTAGE">
                  <a:rPr lang="en-US" baseline="0"/>
                  <a:pPr>
                    <a:defRPr/>
                  </a:pPr>
                  <a:t>[PERCENTAGE]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2944691004533525"/>
                  <c:h val="0.27504636420522299"/>
                </c:manualLayout>
              </c15:layout>
              <c15:dlblFieldTable/>
              <c15:showDataLabelsRange val="0"/>
            </c:ext>
          </c:extLst>
        </c:dLbl>
      </c:pivotFmt>
      <c:pivotFmt>
        <c:idx val="10"/>
        <c:spPr>
          <a:solidFill>
            <a:schemeClr val="tx2">
              <a:lumMod val="50000"/>
              <a:lumOff val="50000"/>
            </a:schemeClr>
          </a:solidFill>
          <a:ln w="19050">
            <a:solidFill>
              <a:schemeClr val="lt1"/>
            </a:solidFill>
          </a:ln>
          <a:effectLst/>
        </c:spPr>
        <c:dLbl>
          <c:idx val="0"/>
          <c:layout>
            <c:manualLayout>
              <c:x val="0.19970253718285214"/>
              <c:y val="-8.827243601023859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DF8E442F-4AA1-45F2-914D-5F364020D1EF}" type="CATEGORYNAME">
                  <a:rPr lang="en-US"/>
                  <a:pPr>
                    <a:defRPr/>
                  </a:pPr>
                  <a:t>[CATEGORY NAME]</a:t>
                </a:fld>
                <a:r>
                  <a:rPr lang="en-US" baseline="0"/>
                  <a:t>, </a:t>
                </a:r>
                <a:fld id="{DB47F372-B4D7-45DE-8B75-F963C07EEB84}" type="VALUE">
                  <a:rPr lang="en-US" baseline="0"/>
                  <a:pPr>
                    <a:defRPr/>
                  </a:pPr>
                  <a:t>[VALUE]</a:t>
                </a:fld>
                <a:r>
                  <a:rPr lang="en-US" baseline="0"/>
                  <a:t>, </a:t>
                </a:r>
              </a:p>
              <a:p>
                <a:pPr>
                  <a:defRPr/>
                </a:pPr>
                <a:fld id="{88A07F83-09A3-4251-8E75-791083C5B809}" type="PERCENTAGE">
                  <a:rPr lang="en-US" baseline="0"/>
                  <a:pPr>
                    <a:defRPr/>
                  </a:pPr>
                  <a:t>[PERCENTAGE]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8099164877117628"/>
                  <c:h val="0.21513945649042204"/>
                </c:manualLayout>
              </c15:layout>
              <c15:dlblFieldTable/>
              <c15:showDataLabelsRange val="0"/>
            </c:ext>
          </c:extLst>
        </c:dLbl>
      </c:pivotFmt>
    </c:pivotFmts>
    <c:plotArea>
      <c:layout/>
      <c:doughnutChart>
        <c:varyColors val="1"/>
        <c:ser>
          <c:idx val="0"/>
          <c:order val="0"/>
          <c:tx>
            <c:strRef>
              <c:f>Pivots!$J$43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F5DB-48AA-BCF2-B1E5D25B0C58}"/>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F5DB-48AA-BCF2-B1E5D25B0C58}"/>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F5DB-48AA-BCF2-B1E5D25B0C58}"/>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F5DB-48AA-BCF2-B1E5D25B0C58}"/>
              </c:ext>
            </c:extLst>
          </c:dPt>
          <c:dLbls>
            <c:dLbl>
              <c:idx val="0"/>
              <c:layout>
                <c:manualLayout>
                  <c:x val="0.14459298494479242"/>
                  <c:y val="-6.377012122039658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F2BC7F53-F43E-4E3B-8423-CA852B4BE286}" type="CATEGORYNAME">
                      <a:rPr lang="en-US"/>
                      <a:pPr>
                        <a:defRPr/>
                      </a:pPr>
                      <a:t>[CATEGORY NAME]</a:t>
                    </a:fld>
                    <a:r>
                      <a:rPr lang="en-US" baseline="0"/>
                      <a:t>, </a:t>
                    </a:r>
                    <a:fld id="{5522CFC7-AD42-462C-86C0-FBD1D4331550}" type="VALUE">
                      <a:rPr lang="en-US" baseline="0"/>
                      <a:pPr>
                        <a:defRPr/>
                      </a:pPr>
                      <a:t>[VALUE]</a:t>
                    </a:fld>
                    <a:r>
                      <a:rPr lang="en-US" baseline="0"/>
                      <a:t>, </a:t>
                    </a:r>
                  </a:p>
                  <a:p>
                    <a:pPr>
                      <a:defRPr/>
                    </a:pPr>
                    <a:fld id="{81C4F53D-3F26-4048-BAC9-A0276E1D3372}" type="PERCENTAGE">
                      <a:rPr lang="en-US" baseline="0"/>
                      <a:pPr>
                        <a:defRPr/>
                      </a:pPr>
                      <a:t>[PERCENTAGE]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101468557655185"/>
                      <c:h val="0.41807352115667623"/>
                    </c:manualLayout>
                  </c15:layout>
                  <c15:dlblFieldTable/>
                  <c15:showDataLabelsRange val="0"/>
                </c:ext>
                <c:ext xmlns:c16="http://schemas.microsoft.com/office/drawing/2014/chart" uri="{C3380CC4-5D6E-409C-BE32-E72D297353CC}">
                  <c16:uniqueId val="{00000001-F5DB-48AA-BCF2-B1E5D25B0C58}"/>
                </c:ext>
              </c:extLst>
            </c:dLbl>
            <c:dLbl>
              <c:idx val="1"/>
              <c:layout>
                <c:manualLayout>
                  <c:x val="-0.1359773371104816"/>
                  <c:y val="-1.987133154125955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05290EC-7A27-4E73-A70B-0415C09A0F9D}" type="CATEGORYNAME">
                      <a:rPr lang="en-US"/>
                      <a:pPr>
                        <a:defRPr/>
                      </a:pPr>
                      <a:t>[CATEGORY NAME]</a:t>
                    </a:fld>
                    <a:r>
                      <a:rPr lang="en-US" baseline="0"/>
                      <a:t>,</a:t>
                    </a:r>
                  </a:p>
                  <a:p>
                    <a:pPr>
                      <a:defRPr/>
                    </a:pPr>
                    <a:r>
                      <a:rPr lang="en-US" baseline="0"/>
                      <a:t> </a:t>
                    </a:r>
                    <a:fld id="{45427850-D80A-47DF-A0B1-8B97D2B41016}" type="VALUE">
                      <a:rPr lang="en-US" baseline="0"/>
                      <a:pPr>
                        <a:defRPr/>
                      </a:pPr>
                      <a:t>[VALUE]</a:t>
                    </a:fld>
                    <a:r>
                      <a:rPr lang="en-US" baseline="0"/>
                      <a:t>, </a:t>
                    </a:r>
                  </a:p>
                  <a:p>
                    <a:pPr>
                      <a:defRPr/>
                    </a:pPr>
                    <a:fld id="{FAF0E577-2E0C-42B4-90AF-62BFCA282878}" type="PERCENTAGE">
                      <a:rPr lang="en-US" baseline="0"/>
                      <a:pPr>
                        <a:defRPr/>
                      </a:pPr>
                      <a:t>[PERCENTAGE]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606310399583701"/>
                      <c:h val="0.44766375715341944"/>
                    </c:manualLayout>
                  </c15:layout>
                  <c15:dlblFieldTable/>
                  <c15:showDataLabelsRange val="0"/>
                </c:ext>
                <c:ext xmlns:c16="http://schemas.microsoft.com/office/drawing/2014/chart" uri="{C3380CC4-5D6E-409C-BE32-E72D297353CC}">
                  <c16:uniqueId val="{00000003-F5DB-48AA-BCF2-B1E5D25B0C58}"/>
                </c:ext>
              </c:extLst>
            </c:dLbl>
            <c:dLbl>
              <c:idx val="2"/>
              <c:layout>
                <c:manualLayout>
                  <c:x val="-8.9114769744691014E-2"/>
                  <c:y val="-8.59704808097823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8D42468-D87F-4CBB-850D-A0B3F9C36224}" type="CATEGORYNAME">
                      <a:rPr lang="en-US"/>
                      <a:pPr>
                        <a:defRPr/>
                      </a:pPr>
                      <a:t>[CATEGORY NAME]</a:t>
                    </a:fld>
                    <a:r>
                      <a:rPr lang="en-US" baseline="0"/>
                      <a:t>, </a:t>
                    </a:r>
                    <a:fld id="{AD85C610-CAD6-49D0-B438-DAED46A861E3}" type="VALUE">
                      <a:rPr lang="en-US" baseline="0"/>
                      <a:pPr>
                        <a:defRPr/>
                      </a:pPr>
                      <a:t>[VALUE]</a:t>
                    </a:fld>
                    <a:r>
                      <a:rPr lang="en-US" baseline="0"/>
                      <a:t>, </a:t>
                    </a:r>
                  </a:p>
                  <a:p>
                    <a:pPr>
                      <a:defRPr/>
                    </a:pPr>
                    <a:fld id="{C561344D-F825-4472-97DE-E94EF5394E7C}" type="PERCENTAGE">
                      <a:rPr lang="en-US" baseline="0"/>
                      <a:pPr>
                        <a:defRPr/>
                      </a:pPr>
                      <a:t>[PERCENTAGE]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2944691004533525"/>
                      <c:h val="0.27504636420522299"/>
                    </c:manualLayout>
                  </c15:layout>
                  <c15:dlblFieldTable/>
                  <c15:showDataLabelsRange val="0"/>
                </c:ext>
                <c:ext xmlns:c16="http://schemas.microsoft.com/office/drawing/2014/chart" uri="{C3380CC4-5D6E-409C-BE32-E72D297353CC}">
                  <c16:uniqueId val="{00000005-F5DB-48AA-BCF2-B1E5D25B0C58}"/>
                </c:ext>
              </c:extLst>
            </c:dLbl>
            <c:dLbl>
              <c:idx val="3"/>
              <c:layout>
                <c:manualLayout>
                  <c:x val="0.19970253718285214"/>
                  <c:y val="-8.827243601023859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DF8E442F-4AA1-45F2-914D-5F364020D1EF}" type="CATEGORYNAME">
                      <a:rPr lang="en-US"/>
                      <a:pPr>
                        <a:defRPr/>
                      </a:pPr>
                      <a:t>[CATEGORY NAME]</a:t>
                    </a:fld>
                    <a:r>
                      <a:rPr lang="en-US" baseline="0"/>
                      <a:t>, </a:t>
                    </a:r>
                    <a:fld id="{DB47F372-B4D7-45DE-8B75-F963C07EEB84}" type="VALUE">
                      <a:rPr lang="en-US" baseline="0"/>
                      <a:pPr>
                        <a:defRPr/>
                      </a:pPr>
                      <a:t>[VALUE]</a:t>
                    </a:fld>
                    <a:r>
                      <a:rPr lang="en-US" baseline="0"/>
                      <a:t>, </a:t>
                    </a:r>
                  </a:p>
                  <a:p>
                    <a:pPr>
                      <a:defRPr/>
                    </a:pPr>
                    <a:fld id="{88A07F83-09A3-4251-8E75-791083C5B809}" type="PERCENTAGE">
                      <a:rPr lang="en-US" baseline="0"/>
                      <a:pPr>
                        <a:defRPr/>
                      </a:pPr>
                      <a:t>[PERCENTAGE]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8099164877117628"/>
                      <c:h val="0.21513945649042204"/>
                    </c:manualLayout>
                  </c15:layout>
                  <c15:dlblFieldTable/>
                  <c15:showDataLabelsRange val="0"/>
                </c:ext>
                <c:ext xmlns:c16="http://schemas.microsoft.com/office/drawing/2014/chart" uri="{C3380CC4-5D6E-409C-BE32-E72D297353CC}">
                  <c16:uniqueId val="{00000007-F5DB-48AA-BCF2-B1E5D25B0C58}"/>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Pivots!$I$44:$I$48</c:f>
              <c:strCache>
                <c:ptCount val="4"/>
                <c:pt idx="0">
                  <c:v>Female</c:v>
                </c:pt>
                <c:pt idx="1">
                  <c:v>Male</c:v>
                </c:pt>
                <c:pt idx="2">
                  <c:v>Other</c:v>
                </c:pt>
                <c:pt idx="3">
                  <c:v>Unknown</c:v>
                </c:pt>
              </c:strCache>
            </c:strRef>
          </c:cat>
          <c:val>
            <c:numRef>
              <c:f>Pivots!$J$44:$J$48</c:f>
              <c:numCache>
                <c:formatCode>General</c:formatCode>
                <c:ptCount val="4"/>
                <c:pt idx="0">
                  <c:v>733</c:v>
                </c:pt>
                <c:pt idx="1">
                  <c:v>479</c:v>
                </c:pt>
                <c:pt idx="2">
                  <c:v>17</c:v>
                </c:pt>
                <c:pt idx="3">
                  <c:v>186</c:v>
                </c:pt>
              </c:numCache>
            </c:numRef>
          </c:val>
          <c:extLst>
            <c:ext xmlns:c16="http://schemas.microsoft.com/office/drawing/2014/chart" uri="{C3380CC4-5D6E-409C-BE32-E72D297353CC}">
              <c16:uniqueId val="{00000008-F5DB-48AA-BCF2-B1E5D25B0C5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[ecommerce-customer-sales-dashboard.xlsx]Pivot3!PivotDelivery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How long we take to ship?</a:t>
            </a:r>
          </a:p>
        </c:rich>
      </c:tx>
      <c:layout>
        <c:manualLayout>
          <c:xMode val="edge"/>
          <c:yMode val="edge"/>
          <c:x val="0.31266069568354954"/>
          <c:y val="4.88656195462478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c:f>
              <c:strCache>
                <c:ptCount val="1"/>
                <c:pt idx="0">
                  <c:v>Total</c:v>
                </c:pt>
              </c:strCache>
            </c:strRef>
          </c:tx>
          <c:spPr>
            <a:solidFill>
              <a:schemeClr val="accent6">
                <a:lumMod val="50000"/>
              </a:schemeClr>
            </a:solidFill>
            <a:ln>
              <a:solidFill>
                <a:schemeClr val="bg1"/>
              </a:solidFill>
            </a:ln>
            <a:effectLst/>
          </c:spPr>
          <c:invertIfNegative val="0"/>
          <c:cat>
            <c:strRef>
              <c:f>Pivot3!$A$4:$A$14</c:f>
              <c:strCache>
                <c:ptCount val="10"/>
                <c:pt idx="0">
                  <c:v>0</c:v>
                </c:pt>
                <c:pt idx="1">
                  <c:v>1</c:v>
                </c:pt>
                <c:pt idx="2">
                  <c:v>2</c:v>
                </c:pt>
                <c:pt idx="3">
                  <c:v>3</c:v>
                </c:pt>
                <c:pt idx="4">
                  <c:v>4</c:v>
                </c:pt>
                <c:pt idx="5">
                  <c:v>5</c:v>
                </c:pt>
                <c:pt idx="6">
                  <c:v>6</c:v>
                </c:pt>
                <c:pt idx="7">
                  <c:v>7</c:v>
                </c:pt>
                <c:pt idx="8">
                  <c:v>8</c:v>
                </c:pt>
                <c:pt idx="9">
                  <c:v>9</c:v>
                </c:pt>
              </c:strCache>
            </c:strRef>
          </c:cat>
          <c:val>
            <c:numRef>
              <c:f>Pivot3!$B$4:$B$14</c:f>
              <c:numCache>
                <c:formatCode>General</c:formatCode>
                <c:ptCount val="10"/>
                <c:pt idx="0">
                  <c:v>6</c:v>
                </c:pt>
                <c:pt idx="1">
                  <c:v>36</c:v>
                </c:pt>
                <c:pt idx="2">
                  <c:v>14</c:v>
                </c:pt>
                <c:pt idx="3">
                  <c:v>23</c:v>
                </c:pt>
                <c:pt idx="4">
                  <c:v>15</c:v>
                </c:pt>
                <c:pt idx="5">
                  <c:v>7</c:v>
                </c:pt>
                <c:pt idx="6">
                  <c:v>5</c:v>
                </c:pt>
                <c:pt idx="7">
                  <c:v>1</c:v>
                </c:pt>
                <c:pt idx="8">
                  <c:v>1</c:v>
                </c:pt>
                <c:pt idx="9">
                  <c:v>1</c:v>
                </c:pt>
              </c:numCache>
            </c:numRef>
          </c:val>
          <c:extLst>
            <c:ext xmlns:c16="http://schemas.microsoft.com/office/drawing/2014/chart" uri="{C3380CC4-5D6E-409C-BE32-E72D297353CC}">
              <c16:uniqueId val="{00000000-6AC7-43E9-A3AE-C9FA6221485B}"/>
            </c:ext>
          </c:extLst>
        </c:ser>
        <c:dLbls>
          <c:showLegendKey val="0"/>
          <c:showVal val="0"/>
          <c:showCatName val="0"/>
          <c:showSerName val="0"/>
          <c:showPercent val="0"/>
          <c:showBubbleSize val="0"/>
        </c:dLbls>
        <c:gapWidth val="0"/>
        <c:overlap val="-27"/>
        <c:axId val="882131520"/>
        <c:axId val="882131936"/>
      </c:barChart>
      <c:catAx>
        <c:axId val="88213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31936"/>
        <c:crosses val="autoZero"/>
        <c:auto val="1"/>
        <c:lblAlgn val="ctr"/>
        <c:lblOffset val="100"/>
        <c:noMultiLvlLbl val="0"/>
      </c:catAx>
      <c:valAx>
        <c:axId val="88213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3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[ecommerce-customer-sales-dashboard.xlsx]Pivot3!PivotRating</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How satisfied are our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Pivot3!$B$25:$B$26</c:f>
              <c:strCache>
                <c:ptCount val="1"/>
                <c:pt idx="0">
                  <c:v>1</c:v>
                </c:pt>
              </c:strCache>
            </c:strRef>
          </c:tx>
          <c:spPr>
            <a:solidFill>
              <a:schemeClr val="accent1"/>
            </a:solidFill>
            <a:ln>
              <a:noFill/>
            </a:ln>
            <a:effectLst/>
          </c:spPr>
          <c:invertIfNegative val="0"/>
          <c:cat>
            <c:strRef>
              <c:f>Pivot3!$A$27:$A$30</c:f>
              <c:strCache>
                <c:ptCount val="3"/>
                <c:pt idx="0">
                  <c:v>Jan</c:v>
                </c:pt>
                <c:pt idx="1">
                  <c:v>Feb</c:v>
                </c:pt>
                <c:pt idx="2">
                  <c:v>Mar</c:v>
                </c:pt>
              </c:strCache>
            </c:strRef>
          </c:cat>
          <c:val>
            <c:numRef>
              <c:f>Pivot3!$B$27:$B$30</c:f>
              <c:numCache>
                <c:formatCode>General</c:formatCode>
                <c:ptCount val="3"/>
                <c:pt idx="2">
                  <c:v>1</c:v>
                </c:pt>
              </c:numCache>
            </c:numRef>
          </c:val>
          <c:extLst>
            <c:ext xmlns:c16="http://schemas.microsoft.com/office/drawing/2014/chart" uri="{C3380CC4-5D6E-409C-BE32-E72D297353CC}">
              <c16:uniqueId val="{00000000-CC1D-4E82-ACE6-CC3A8E59BB6A}"/>
            </c:ext>
          </c:extLst>
        </c:ser>
        <c:ser>
          <c:idx val="1"/>
          <c:order val="1"/>
          <c:tx>
            <c:strRef>
              <c:f>Pivot3!$C$25:$C$26</c:f>
              <c:strCache>
                <c:ptCount val="1"/>
                <c:pt idx="0">
                  <c:v>2</c:v>
                </c:pt>
              </c:strCache>
            </c:strRef>
          </c:tx>
          <c:spPr>
            <a:solidFill>
              <a:schemeClr val="accent2"/>
            </a:solidFill>
            <a:ln>
              <a:noFill/>
            </a:ln>
            <a:effectLst/>
          </c:spPr>
          <c:invertIfNegative val="0"/>
          <c:cat>
            <c:strRef>
              <c:f>Pivot3!$A$27:$A$30</c:f>
              <c:strCache>
                <c:ptCount val="3"/>
                <c:pt idx="0">
                  <c:v>Jan</c:v>
                </c:pt>
                <c:pt idx="1">
                  <c:v>Feb</c:v>
                </c:pt>
                <c:pt idx="2">
                  <c:v>Mar</c:v>
                </c:pt>
              </c:strCache>
            </c:strRef>
          </c:cat>
          <c:val>
            <c:numRef>
              <c:f>Pivot3!$C$27:$C$30</c:f>
              <c:numCache>
                <c:formatCode>General</c:formatCode>
                <c:ptCount val="3"/>
                <c:pt idx="0">
                  <c:v>1</c:v>
                </c:pt>
                <c:pt idx="1">
                  <c:v>3</c:v>
                </c:pt>
              </c:numCache>
            </c:numRef>
          </c:val>
          <c:extLst>
            <c:ext xmlns:c16="http://schemas.microsoft.com/office/drawing/2014/chart" uri="{C3380CC4-5D6E-409C-BE32-E72D297353CC}">
              <c16:uniqueId val="{00000001-CC1D-4E82-ACE6-CC3A8E59BB6A}"/>
            </c:ext>
          </c:extLst>
        </c:ser>
        <c:ser>
          <c:idx val="2"/>
          <c:order val="2"/>
          <c:tx>
            <c:strRef>
              <c:f>Pivot3!$D$25:$D$26</c:f>
              <c:strCache>
                <c:ptCount val="1"/>
                <c:pt idx="0">
                  <c:v>3</c:v>
                </c:pt>
              </c:strCache>
            </c:strRef>
          </c:tx>
          <c:spPr>
            <a:solidFill>
              <a:schemeClr val="accent3"/>
            </a:solidFill>
            <a:ln>
              <a:noFill/>
            </a:ln>
            <a:effectLst/>
          </c:spPr>
          <c:invertIfNegative val="0"/>
          <c:cat>
            <c:strRef>
              <c:f>Pivot3!$A$27:$A$30</c:f>
              <c:strCache>
                <c:ptCount val="3"/>
                <c:pt idx="0">
                  <c:v>Jan</c:v>
                </c:pt>
                <c:pt idx="1">
                  <c:v>Feb</c:v>
                </c:pt>
                <c:pt idx="2">
                  <c:v>Mar</c:v>
                </c:pt>
              </c:strCache>
            </c:strRef>
          </c:cat>
          <c:val>
            <c:numRef>
              <c:f>Pivot3!$D$27:$D$30</c:f>
              <c:numCache>
                <c:formatCode>General</c:formatCode>
                <c:ptCount val="3"/>
                <c:pt idx="0">
                  <c:v>4</c:v>
                </c:pt>
                <c:pt idx="1">
                  <c:v>9</c:v>
                </c:pt>
                <c:pt idx="2">
                  <c:v>7</c:v>
                </c:pt>
              </c:numCache>
            </c:numRef>
          </c:val>
          <c:extLst>
            <c:ext xmlns:c16="http://schemas.microsoft.com/office/drawing/2014/chart" uri="{C3380CC4-5D6E-409C-BE32-E72D297353CC}">
              <c16:uniqueId val="{00000002-CC1D-4E82-ACE6-CC3A8E59BB6A}"/>
            </c:ext>
          </c:extLst>
        </c:ser>
        <c:ser>
          <c:idx val="3"/>
          <c:order val="3"/>
          <c:tx>
            <c:strRef>
              <c:f>Pivot3!$E$25:$E$26</c:f>
              <c:strCache>
                <c:ptCount val="1"/>
                <c:pt idx="0">
                  <c:v>4</c:v>
                </c:pt>
              </c:strCache>
            </c:strRef>
          </c:tx>
          <c:spPr>
            <a:solidFill>
              <a:schemeClr val="accent4"/>
            </a:solidFill>
            <a:ln>
              <a:noFill/>
            </a:ln>
            <a:effectLst/>
          </c:spPr>
          <c:invertIfNegative val="0"/>
          <c:cat>
            <c:strRef>
              <c:f>Pivot3!$A$27:$A$30</c:f>
              <c:strCache>
                <c:ptCount val="3"/>
                <c:pt idx="0">
                  <c:v>Jan</c:v>
                </c:pt>
                <c:pt idx="1">
                  <c:v>Feb</c:v>
                </c:pt>
                <c:pt idx="2">
                  <c:v>Mar</c:v>
                </c:pt>
              </c:strCache>
            </c:strRef>
          </c:cat>
          <c:val>
            <c:numRef>
              <c:f>Pivot3!$E$27:$E$30</c:f>
              <c:numCache>
                <c:formatCode>General</c:formatCode>
                <c:ptCount val="3"/>
                <c:pt idx="0">
                  <c:v>14</c:v>
                </c:pt>
                <c:pt idx="1">
                  <c:v>14</c:v>
                </c:pt>
                <c:pt idx="2">
                  <c:v>19</c:v>
                </c:pt>
              </c:numCache>
            </c:numRef>
          </c:val>
          <c:extLst>
            <c:ext xmlns:c16="http://schemas.microsoft.com/office/drawing/2014/chart" uri="{C3380CC4-5D6E-409C-BE32-E72D297353CC}">
              <c16:uniqueId val="{00000003-CC1D-4E82-ACE6-CC3A8E59BB6A}"/>
            </c:ext>
          </c:extLst>
        </c:ser>
        <c:ser>
          <c:idx val="4"/>
          <c:order val="4"/>
          <c:tx>
            <c:strRef>
              <c:f>Pivot3!$F$25:$F$26</c:f>
              <c:strCache>
                <c:ptCount val="1"/>
                <c:pt idx="0">
                  <c:v>5</c:v>
                </c:pt>
              </c:strCache>
            </c:strRef>
          </c:tx>
          <c:spPr>
            <a:solidFill>
              <a:schemeClr val="accent5"/>
            </a:solidFill>
            <a:ln>
              <a:noFill/>
            </a:ln>
            <a:effectLst/>
          </c:spPr>
          <c:invertIfNegative val="0"/>
          <c:cat>
            <c:strRef>
              <c:f>Pivot3!$A$27:$A$30</c:f>
              <c:strCache>
                <c:ptCount val="3"/>
                <c:pt idx="0">
                  <c:v>Jan</c:v>
                </c:pt>
                <c:pt idx="1">
                  <c:v>Feb</c:v>
                </c:pt>
                <c:pt idx="2">
                  <c:v>Mar</c:v>
                </c:pt>
              </c:strCache>
            </c:strRef>
          </c:cat>
          <c:val>
            <c:numRef>
              <c:f>Pivot3!$F$27:$F$30</c:f>
              <c:numCache>
                <c:formatCode>General</c:formatCode>
                <c:ptCount val="3"/>
                <c:pt idx="0">
                  <c:v>14</c:v>
                </c:pt>
                <c:pt idx="1">
                  <c:v>14</c:v>
                </c:pt>
                <c:pt idx="2">
                  <c:v>9</c:v>
                </c:pt>
              </c:numCache>
            </c:numRef>
          </c:val>
          <c:extLst>
            <c:ext xmlns:c16="http://schemas.microsoft.com/office/drawing/2014/chart" uri="{C3380CC4-5D6E-409C-BE32-E72D297353CC}">
              <c16:uniqueId val="{00000001-290E-4870-9B88-9380D69F00D3}"/>
            </c:ext>
          </c:extLst>
        </c:ser>
        <c:dLbls>
          <c:showLegendKey val="0"/>
          <c:showVal val="0"/>
          <c:showCatName val="0"/>
          <c:showSerName val="0"/>
          <c:showPercent val="0"/>
          <c:showBubbleSize val="0"/>
        </c:dLbls>
        <c:gapWidth val="219"/>
        <c:overlap val="-27"/>
        <c:axId val="1097524352"/>
        <c:axId val="1097522272"/>
      </c:barChart>
      <c:catAx>
        <c:axId val="109752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522272"/>
        <c:crosses val="autoZero"/>
        <c:auto val="1"/>
        <c:lblAlgn val="ctr"/>
        <c:lblOffset val="100"/>
        <c:noMultiLvlLbl val="0"/>
      </c:catAx>
      <c:valAx>
        <c:axId val="109752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52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100" b="1" i="0" u="none" strike="noStrike" baseline="0">
              <a:solidFill>
                <a:sysClr val="windowText" lastClr="000000">
                  <a:lumMod val="65000"/>
                  <a:lumOff val="35000"/>
                </a:sysClr>
              </a:solidFill>
              <a:latin typeface="Aptos Narrow" panose="02110004020202020204"/>
            </a:rPr>
            <a:t>Where do our Customers live?</a:t>
          </a:r>
        </a:p>
      </cx:txPr>
    </cx:title>
    <cx:plotArea>
      <cx:plotAreaRegion>
        <cx:plotSurface>
          <cx:spPr>
            <a:ln>
              <a:noFill/>
            </a:ln>
          </cx:spPr>
        </cx:plotSurface>
        <cx:series layoutId="regionMap" uniqueId="{0569AA69-AD65-4064-A31F-030F2AD546D8}">
          <cx:tx>
            <cx:txData>
              <cx:f>_xlchart.v5.2</cx:f>
              <cx:v>Quantity</cx:v>
            </cx:txData>
          </cx:tx>
          <cx:spPr>
            <a:noFill/>
            <a:ln>
              <a:solidFill>
                <a:schemeClr val="tx1"/>
              </a:solidFill>
            </a:ln>
          </cx:spPr>
          <cx:dataId val="0"/>
          <cx:layoutPr>
            <cx:geography cultureLanguage="en-US" cultureRegion="US" attribution="Powered by Bing">
              <cx:geoCache provider="{E9337A44-BEBE-4D9F-B70C-5C5E7DAFC167}">
                <cx:binary>5Hxrb9w6su1fCfL5yFskJZEczB5gKPXLb8d5fxE6tiNKlCiJpJ6//lbHzt5228k4wAS4x8cOHNhq
UiUusrhqVVH/vBr/cVXebM2rsSq1/cfV+Odr6Vzzjz/+sFfyptragyq/MrWtv7qDq7r6o/76Nb+6
+ePabIdcZ39gHwV/XMmtcTfj63/9E3rLburj+mrr8lpfdDdmenNju9LZn1x78tKr7XWV6yS3zuRX
Dv35Ot6W+dfa6Hz7+uE1/OfrRfkqqc32un4V15120+tXN9rlbno7NTd/vn7QE3796o/9Gz4y7lUJ
9rvuGhoTdkAxj0JM+N3X61dlrbO7yx7C/gHlHAUsjPzdF/p+89NtBe1/ybRvhm2vr82NtfCQ3/5/
qosHTwRD8+/nDMnVbmh2eGQAzZ+v3+nc3Vy/unRbd2Nfv8pt/W3szBTXu+d+d/ltoP54iOi//rn3
Bxi6vb/cA31/nP/TpYe4/gfM3wPEndn+BsSDA8x8RnwCuO6+2B7iiB9gTpAf+XDldqLdYv0LJj2N
9H4Hz8B5v8kLQ/nfJayi69+BMj1gfsAwi+4WNt1DGeMDTHFAI/AY90H+BYueBnm/g2eAvN/khYF8
Umt3Y26m37CWo4OIRpQSn35zzj7ZRxkdRGEURGQf5l+x6WmcH/XwDKAftXlhSMeA9Defbd3vWNPs
wEeMc/Ijzw1rGhHYqSna89y/atfTiD/ZyzNQf7LdC0N+Vd5o/RsWOD8IsR8ijqP9lQ1Yc4YoCfcc
+LMteRrkh82fge7DBi8M1sta19XvWcoB4RGn+EeOGx9QBJ47YMHD/fn5Fj2N7177ZwC81+KFIXxc
21f/1tlNeWN/w/INDvwQY8KC8Adcmx3ggJCAott5sBdd/aJxTyP+VCfPgP2pZi8M+8uthn1abM2X
7W+KtALss4hydIs+3/PhEGlFnJEAkej2A3tL/VfNexr/p5/yGTPg6YYvbA4sQYzQv0NYiQ4oQVEY
oh+DT1kI3yh8CPvzLXoa7732zwB6r8ULQ3jdVV/q8tr99917ANoYi1AQPGZnwQGKEPEhAH9qZf+K
SU+D/KiHZ8D8qM0LA/roxvwOCh4eEEoCPwxuBdCdAvpAIQUvvgvLEMGgsdyXUp5rz9MIP2j9DHQf
fP6FIXuyNfnvgJYecBqENPTvRLJ9KRQC6pCg3Q6+F1A/26CnsX3Y/BngPmzw0tC9MVcg1cf/9dwG
PSB+xCMW3TnhR/D6BwFDHMh38FRu4+TZdv0A5YftnwPzwxYvDOfzcnt1Y34DzuyAcSDZAeM/VEF9
GkBKA//Fw+/76efb9TTOe+2fgfNeixeG82XnQO/+DThzkDcxxgjfUepH6xnUbhwCH+Oglt1H+PkW
PY3wXvtnILzX4qUhvL0ykLjS7ncETuwgpBEHHdu/Xa2PMlfoIOC7byBlu689zeTyl2z7Ad6P+3gO
5o9bvTjc9StxA5n134F7dMBCWL2Y3Gll+2oJBtx97EO8tb+6t79i1Y8Qf9THsxB/1OpFIm701lzn
v0UmgUAZihEQI+TpvRtRqEYIfNjf91z6N9B/xbCfAf+on2eD/6jlC5wASX6T/Y4V/y3HQUOO9zdy
AB1FhMGsuPMFj7F/tk0/hv1hF89E/GGjFwj20mz1VW6v6u9j/t+oMqMglPk+ZewuEnvk2/EBSOUo
ZOSJZf6XRc+hlD+G+3E3z4T8ccMXCPsJ1Mn9jjVOIcQOKOXfV/IjNgd1SJgh4HOPeJx+9Wyjfoz6
wy6eifjDRi8P7V11Svl7cl6guUA6k4P0fcve9107sDjwAigIg720x2226dlm/RDxR8/2PMwfNXuZ
qJtufo4X/cUi4mino6LAR3d5zEeg4wMfM9gBHgXm31Kc8TOt+inm9/t4PuT3W700xN1W57bcdr+j
sIEeRIEPxUfRHW2HIqQHSRFY5r6/K22gMBceSDG/ZNUPEH/cx3MQf9zqfwHiPzfxwWPvKsr//X20
n2Btv3o0ACIvSHpFUL1wG5o9kfiKEFQwoeBOj/t+79ty8fsnGm5nwFM2PY3w/bYPnvH2EX8+KL+n
1v/H5wD+Ol+RbN128e1kxr2jAD+/+u3x4UzJXtO7JfPEgP1V7be5/vM18n0S+gFwqr8Ofew6erjg
vpWwfYfmYaubrXV/voZDHvgANm3IhDEoHg1AXn39ari5u0QgBUYIizDxg4hR2LV1bZz8dnQEBBsQ
3aF6KSBhuDPD1t3dJXAOGPoKIsiA+1B9/P1Bz+tyymr916jc/f5Kd9V5nWtn/3wNOZnXr5rbz+3s
ZaHvByAABHBugTLCKIYy5+Zq+wZO6MDH0f8o3ZSN8gv/DMQjI5chm01MSNRdmaJb9IEahV+lau2l
TscF4u9T10uRGtkmYUi/uKq8pNXABfZxAtq1L9Im/9J5/sb27bHyiiw2oSlE3vZJGvVuqQj6PNAx
W1k82KOqbTdtn8Vkzs+I8zaV5CdWTQIZy+MuLdq4n+ZaUMvWOi8W8+AllLjEDREcSfHmcxV1aVzm
wxtM3CeeUy8Olb6YlIdE3XhvPZmbOO0LK9o8X2ZpdFQWH8t8+jxkfieKsHhjTeEL09oYVeFR5bfl
opj1aqprfOI3wZnM50DAOaajOWxOe90dMZteN3w4ynH0GU+RugjGto8znZ4MgZMiw96nwYQLyzDa
mqmexKBYMlvzPsf+dUYLKYaGtHFUlu9G6l13YQ8PUvK1UuxkKjO5QPAMqa9O8rnZ2qK2yz5V+WKY
XBVL3IYrHaabdJStMKx6NzXpme2Gz1XkaqEoPh5Zu3KBqgWvKi16hpbMZqs2Dc8UbogIh3ndDciP
p5m/LyK+7IbwZOjlynesjy0rLnTlB3Gvx2Nm5+PBMn8xpM3HXIYk7nFbiJar962dqFDKfQzn4WiI
WiOcrb7WzJxgRLJjqbJTLgOZaBctBtu5GDm8tik3wrbZW1yajd/IPGbU8cMh6poFjuS1zuhllk6r
Tg3joqqrw6nGSHTEuxmD5miO9DIq3Af421rXoRFBz9iixrkVsnDn2hblMR+rt9FxjVQpOK2SCNZT
IkkqE9rZrxVq1wU1q6hvZQyHg7IlfPAEde2iqbtK+KrvRe/ZS9SbVRGqT8GEVjzrMtGw8MgWlMeu
roNE6+qiK+S0bK1aBm4u4zntF5OkjYCaVBar2Zw0vLSiqFK3wBNZ4aw+UmGwLHk3C8XNRaCGw0K6
IpZmOjUcxj5Ij9wcOuGxnE5XXVabD1I7ksiMV0xEtaZvcANCXyaYqbwLv+HtGztlVblCY750xF8q
T0aiw+lXlY03acj9WNZlrP2WHlI9vreR+eJU14qmri9oxleeVBeoKTeMVWEMBXRJM9K4ILRP8tI3
Sxa6U0TKAB6uWbSUeoKMxbp2Y7CQaTAIXtI5LnpbxU1eJa4elySatmOEk3YcP7OULXw+vQOgpWCF
t5ly71i3ciWVt9G8FpFCcVaUCffSdVFNS8V0JkbWiCmYD0njPqDWJDKcsgRX47KvWCZIXhzTvFWx
U1jwka4GHomqqQCQ984Uq2nslh0b4r7qNrmXZkJpmkyVTWTOP1ZFoYQ18rhvOErmNufLsYo6MSu9
5q1/Shy/skMAi2CKp5E2CxXwhDTTSdAVm8GQRlTYN0d4GADbUKRet+6suepMf1aMLLFF8NbPs0rw
yRzPikYiCPUiULAKfSZFOyK+RMq/DLv0po0szM6+2jiesdjSfo0yOsZeG64DUp2n/twfySYXRR4y
wfI+lkF3MlB9NHpai0qVcZCxTyXphIvYutOBMJO/4rQ7z6P+g4+bTRqMy6j36UIVJfi/UXuiieo3
pOMuzmdzFviZmLJiXYIDbPL+NI3mt21dixa7ixR3h6btRdSGvRj5lMwzXkaRWRAPbera9omt9Qxe
mCx56I58PS+ZDvqYT55oG/9LmVosHO4+k5yV8YBDskE0O0d6Ek2WXaCZHXM29fE8e/kymodDP1Ix
rQcZqyYrFpWX8w3Jwm7F5XhOSm+pyukcc/aV4HmpqyaxkVtYw7xlnrc6Hjx3Nrnm3FH2bsw7GVdh
2MVjFfLFWODyoyLplGRN/7Ww3ZEc/fdlpzeFq48lt73oTP6mm3GCc/M1zKZF16HmVI7jsi3mdwrh
WYS9eg8eeGF1eGG8tBaZzz95kfkwtuPRUMlG2K6iMWlY7JA8wiqL5RieZUN2FDgHbjyYNmnLCy1Q
2k7BOrJWve9Lb1AJ8jRaerMbYjayRennGxyqQjRDNSdjLa+DnnTJ1NdjYg3a8nk+Q6YiC6ALWZJh
tBzNXIiUtF+p61XMnTpxOQV3OY06kXX+oS7weV3hN4HSg+jrQIzSXoUMJ87nh9Sbzmw0bmYM/stQ
1Akd6nfj5L1vxvptmWMlBk2SpsyRYNNw1qtojoOZXc66IUnZFd2FcUW+CEtarAPtpyJK+2qMK0R6
eXSPTz3BT3bVfvfoSehDvhKF1MdRCIq1j3cc6T49sS3oHRMn/AxdVuJjuOzP23gWVcy3b9/Yk/ow
X9SxW+fH4WpI5LpeysMwWxcncvXNjjvieWfILXG6qpvJ5Jm8O3j816//eltX8O/bodW//7g7t/z3
b6ubekfQ7f6Hdvf561Nwm7v77gjlg18eMdzv1G6Pw96ejP7BxR8T3PtMNQT5/x4Wj7jt/TDhNsTY
8cXbVt+5LYIM064AH0goDqHe9j63DSCjCOQSQlkGYc5OgbzjtgEIFghqO+EMJcQ2GDGIYr9z211N
GHQIgjZjEN5y9CvcFj2ktjB3eAT1DFCjBIf4SIB3qtj9ueNmUjdt142neiB80Q8pLNmaFFTFig79
ReSF02Ex9lotfF+5T64O+ncqsGMrLNfth3uj98RMRkDZH85kDmPBMaVQEQWnR6OdtfeIdqCnRnHZ
9ae41eg0U7NORUfrSMZj72ou+iHoPtG+8XJhKubauC2MykQ6WxrEUKSjrznw6zPoQ3YJLkv0bg49
hlZTFKY3aPLQuPy5xRiOwzyyGM5AMo45LEGG/T2LcyoB28mdkjHMsiQa5/JdH0DV/dLRqQ5FP42o
SHKaMjHTaMrFpHyyqnozocT0tbuWo7Uozr0mTCyc+u+Fq6TfC2pClS2yupDnquOHleXSJnCIg7+3
sj1S5RCOi9x60UluZF/druTbw+ZP4PAYBihX8ikAEcHcIN8e+h4MdPKywWtKe6pdyt/XGUNYBArD
1Gh0N54Po+GXTYrKjz8fzN1c+zvMCn0ohIOjg5RwiPV2P3Zm3btt6I9Z0NhMn2o2o1OkZHeqrYlz
lsr3P78TLJ9Hd+KQzKcB1E9z+i3gu3enRgfT3BpZn7LGD7btUJtylTo2YaEaufDbrpxj4k+sBsYX
DtV/mjS7SfHwQWGiYAheCegb4B32pjkcqM1lpqv8lLYq3FZFF25VubMhnCu7iAxwjckH6FdD2Q5Y
tKqmN67kdjPwKTgeI2L8mAxFreKC6uodMQ0GKsym6abx+ibxvRn23JDXgVmHJJo78fPR250Q2Lcf
thyIVCIOR7hpAD7tPlB+1IU6DFMPgoO02ubG2UwgTzngWmSadHY4yFx9yRhvjse5lcuoDsY8xqin
Xx2d5zqeZEbjoC76m9wQet2HjaSHPzcyCB+BTAICk2inCUN+J6R7UXtkWO4b6chJEbRNylniuJxX
oxsJX7q+62Iztv5FX01hJ6SUNDZIQ8htmlUZNDhWZVu9acqwGgUth+zDUFT1ZrLOiSZsm3eRhag1
bXUad3VR5CJ3pBhEWlh9OjSePWu9mSyyDPFCeHOqqxj3slqHkSvf4CI7zyZNRlF2tD11afvW4coj
SdRjGMh8wuAbgm6ehT+w4riUIfuU+l1wKCOGjuds7Hk8+DKoICye8o3HzFSJYWJzgobQS+ZivGps
6y4736MQTFeOLlPbdpsgxfhtK9GgVin1UC5mqdIvkEsxvch1630GqlYlTWPxRtW62aCWl9d530Sw
7kmlLnOejlT0bZAdmtR08QTjsEIB5mftUI2LYDDtEqER9YsSzghncT9kDNQJLNNFZYlJuoafydTL
/ASh2q1hq8EDRGBFJJij5cex8oEhGt5chsSFq44XHl7aqJq3LKrNwvpjMS97xbKlN47+Ftty+Gqz
pgnjGTug6jrDfbYcXVHD4hiGxZT1HVuaGsLb0pFqreGjAjYgU8NAVz0VhS0KL6bpQAWtw3EWgSvT
GDQWXa1MpBZZ0E3+xUBQAC9SMX4pCphJbkncwO1qJHQ8jtQ8l+lFN7SuqsSUl5M21zKVGM+f7OCN
tJKCG3Dl9RWeqsIRIzrXdY1/6pSr1HjI83Ze9bxz6aYyed4IIOX1pU89sikmQrq4AwxSMbU+HwGu
irFEpynsh65UQ7uIFKg0sSkdSs9k60e0XquJDjKZxpK748g6AjNqSGtkh7iDvXAZebJIz3pYOlEW
t6yBwBERZaulLnPDRdnC5pUuxj6PYi8FaTYUU+rrIK5tWoG8wrshXQ4lLauFTYEVLEOdVXPM5hA8
psYq6OJKGq8UPUTf9tzmXlUt6ixnX72up7mf+DV2qzxgHTsNIQhNDzWhjoZFrEfbztPa+uDd5KLJ
JK0Wqe3ndsmN1flyKqNqWvvWVk0c4qnMYzqGU7kyeZt7McCKP3hNNaMEhDkF0oaqfO+sLHzPwpBr
/aGoKl5tiOGuXCjpojdz5whZFh7oJUdykJZqQSWWbpWavtGXsBmTwyKbsVp2DViwqF2ZzQuGxpnH
rJia4aRiE0xtD5aKSVKEIDAEmbJMspRkXUJ1D3Dm1AI/0XNB5ptSwZHchIEBVUKmSrYb5OfBOsup
imKsVEuSvM7TZO5SFQpvMA0/L9KhCGKSQ8AFsXwxe0d+WgZL1KRZCOZyiMTRJOd6I3M0ZAvFAzmI
3ecE4jnXMH0ykNLGIfdm4cbc+2w0KG6eyGEd4VM063zOBesDj7ydygF3p1HDpzrRvHUnYadhS8os
VdCAV6DSLtNcIv1pRqWWh+1UlePSDuGcHyGXubdBgcNtOKZVKhiCybvs9EjJwkZzDsZ3qKiSkrTK
xmxIFznK20/lMACzKLKiv7RhNHxpjCTrng5ZumAq9LHQLIV+wrIuxqU2PTqdx4YEF9aF6C1yHnxi
iDy7iy0nOi56XBX52owYDxtNM4vPco/y96Dx7CZnUbR2RUsr7fk4BY7FfjsANnLQYFhtwekewQ7G
3xPmw+yuwEuaBKr3x3rjLE/xeWE6pd5gpnmwGYNi6E7c6HbkU07jeai8aFzUQwW3rut5Bm0AV25e
+YruHn5n+gD+CexqKnQK4gc8RdeGMFRS1WqOueph6TRlpvILbSgsedMBK8jgGvhU7LQ8ayHIM1qQ
RvoA92DG7qTyZGNF7nftuBzhHR1kMfUt3jkNWEwxPBE4kJGjHU92unqfwluYDlmf56CbyFDBvJiy
aAtxLJgxmmJ6Q9zo26MMaG5xVDdaFZcMdouV1T46bXnWfoICyagVIFzm+LBmGe+OUllnfTIZ2g5A
cEHMazAMa+zTdrpSpQrPx8769br1p159GKIqs+sq9aqvoK7ufEjeljKBOICRRY4naZdNVPEPnp9W
y2poslbQANzcZAb5Jq+dPeKVKsIkxAaDaF5CTkD0EvP3pvD6bFFiDctk9lLCN4GuUXtTgUOeDuE1
BrA2hp3HXhShByM69nO/gE1maI+Q6XAUp7x0Pey0pPeBerfFZ8N7/tabgKYfztwZdO2snqyoEKL9
Jh8wdDVWSELQP2RRtmkAliH2FI+Wc9337mScaHkJ+l8rGLXroBr7cD0PEYCjfGTnVVOquj7R0Rgc
e84P6oVsddUfZdPQyJiFtpJvgYnYa59rcCPgOkGOUdIOVvChZy3sAlN7WWYtyj+ieiasFzMwsOld
44jHoTObmoWknsoOvbQZvsjM9/q4pDZSm5z76GK0XjqvTNfafJHPHUzSHLuCnI+qnMPTKmrKEvSq
3o9OAiSDMZ6A3djFIBtAbWA6z4SZaQW+w9pygUYymqQvMTOrmbUw+1UwZqAuppNv47SxUfthCCf0
tpAG5hrsdPw9zPXKnmuuEThY3PBiySoZDWLsPmHWDQyBfN7TdyHW7ZAMYeaCkyAtWf+mTS03sLnD
jF40OQE0IXCYxuOcOFUfU9NIco5Hv4wgB1BzeK5x9LITZbxmSCqbgs8ANta5k7JMwX7DVba0kimZ
DKPvb6Y2gHU/RRHNRZBKevKNlf63NZKT7y+F2xdJ7msk//r/XEl5IlVIIJL4SaoQamq/1Tfe12Bu
c4y7hn8pKtGBz6Bqd/dmEkjIIbjP92whFG6GPGScgM4Cr57aFXZ+zxZCHhE+vpMWoK4/8jkE8vcV
lYDAGTxIZbIQXnvxS4oK2ZcE4LQmxB1QUQzpRw4vVthdvxdc5kUhrQTGeQIn+yoJ2bYWdse4i0J1
WOXg1XCM+pkC5w78Bo+J1NN82dVpkkmdHZOuoFslNdDQNs789nNBS4TOB2SbTBT91IDw0mt+VtVu
PsxIV+ab1k34LZwO9cINsr6BvZqD6lulJD1UU+RDjkWpAl3mlJeQpMvm0l5xnUXDCcj2JrxoIEnS
R7q8Sfs2T2qdd2XcAUErVn7B0JK3oLG/ce3kNkGJrSdmiBrmRepP3ec5oJ0StJX+Ee54emTatuCx
1oNcyJG3sWmNW3T+lB+FDgLXNJ0bSCnylEPRiJZcBG06zCsagHaqtOzOJRAIiB8/U5VdFVFQLSD0
hARKFN40rrqJeI2c6Ks2uB4c5MZ8HeM2gy119sOlU173eYiySPTYz/N4UB0CRWgoBLyKkH1AXt4k
XA3p1QhZgLUlGm+kl8pjT+FqrZChEIt3oPc2TbsKdhlH088Osgl6jEPWSNgfITfF+/QEwG2SCOgD
+OI0Ya46Yh2v4zA19GQKw3mjglKCM+WlCCBzBRmZSpgM9GIysQJodAc0U6ukYfyGBdJbsX5el4if
kSKPVlM6QI7LVkpkqQmEDcaPgQzSRA3gU2kUrmogJMBnx9hJM5wqMrrYl3KMeRmOiYGjpovCa/CZ
nyl16Q0heaOjSN8UfmAOqzYHFtwHIKjk7bWe+uJWh/5v+7b/fV7L/6kI/O0FRI891q7Rd4+1KzqE
l+kgKEwM7tTc7x4LSh/AWwXwD4UhBtfxt8fi8Ao9KDxgPMLAq0hwz2PxA8LgWAKHHwjKln+tvgFF
+x4LiiFBToaKdyiSC4Jddw88FhAbiseO8TNcmQly/mhuVobUmb4gnpZ4EUrYOD9zgs0FKVMdHVZ9
ruO558dRwY+N5ipuKvVFtfXh1ELsh122nIKglqAblGMVGzJv9EjaRdfzC8WGr7utN6aGbXmHVx7F
cWbzJAvblZ81K6bJ6dh4ay8vv4RmJDEt6uOsGC4UzgsROZNkJlpDPmTtF0UjiBninNcQ0xTTCl5l
dYpnP4FSgk4MMiyX4H7WE6SshfbQl6JCAooRwo1h9GMT0M1shqtGjyeMA5tcpPBsn7gpEpdGCmSe
Gl7AyhIFUSR4LTcJ5dft2ex5y7HYOZ8erVtXH/Wq7OPB+YVQxDOLpqJ64xMGT6s9H9KB84fK9icg
aYJIU0D2z6jALHBOgEfjVUG6bGkUyWJkMrooBrRlyhwpq/qkDagRqO4+VWP6uSuKS6nrMyCWufCq
NFxWFjcgn+jNkFMqeG5HEOGqMPGHoBd1xepVI3uSdBCCxyCSHTfFdFGFamOzFsIeXFxPVc8g/7rL
kNbpe1YGSJBs2mrcDcIg9NVh7xD13WZw03FhciVS7gqI7CnkhIduOK4NSNtT4HlijBykdcubytPD
R8DzyIWf5wq4Y27jvizPy7aARGZ6OdjCxWZQhQUJiLfgfrHu5oXOVQZlBGVZQ44eOcXb0zEL6aa0
LIByFSi+yBkzo6iylp/ARicPqar7FYbYaQPj0viLwM+blUwZv0xV2vG4nNCoRVvP0boPp2AFG11Q
Ql4OimrQVMsSfLDBx7Qsuw+shjSxNyv/Vs3+v+4OA5BTf0bi7l6mue8Qb5vdc4hQzBXBcYwIyvPJ
LmN5zyESCu7QJwT7BGG49J3CwesSwB8SEJx3xb5w1PZvCgdl/iE4URpFtz72lwq+IGbbE7hDeDct
htIxREE38uFttA8dIhthonVMdmdF7ppDVvLgxOjxiOmyjcPOvI+qKmkLp6DQhpbzjaxt61100wRC
3QzMBI3lBZeNFk5NFy4LDmtb1cu2tLlA8wQ7uULeKi/7QASNXGaqlxtQEP04a1LY9AebyZj3rV5W
tCm7yylrPnE51cKLKIg+IOMUcYNtcNiP3nwYgvuSaTyxKT/sSpVMOPXWzjNfM65nyCv56WoCHyIk
UnxTdln/vuGMHeE8UieMaBBw88umI7JZsGrylw1iedIbcFy05zqpyQzpbMh3CxxxiPkQP1IUSF2b
oTh02C3DsTlloYTKIFLzZV/Oo4AyONCFpB7WZrCnyEKZmtPtJzNkxxMaFtKfEmzxiR9kR8MMBWGu
AFaYQzwrCsbiobPdQnOMgQJ5bgE3y76mQx19nuaiT5dt2EoBwvb/Y+/LmiPF0XZ/kToASSBugdzt
dHpfboiyywYBQmIV8Ou/h+rpnurur2diTsS5OHEm5mYiqu10ZoLe91kB55h37j5sh7u8pPcCB/Jw
MH5O+lvp1s0e1HQMQ42/b/jc1fd+78BblQ9pMEY0SNmOunYsIp7yL5wX9iBnPeyGuiyTRdWXuejO
PjPHusrPjeOdRE+2urNHovxEL8CLTR05xRJzab7b2ruTffj6fwUn/j+4S+Gm/XsEGP9UYPrnE4Q7
Dn72pxOEr81lNHRdpPJXCe2nEwQHBMyfsPujOsXHcfXbCSKQ9kSEP0QpXvADPP58gkB7hHS/uiio
H8CD+pt14PKrdPevLKNQ8/56ggCaotsD6i/+t2r7P4PAUAVLWI98vKlGCQEEUEg7x2py2bFeoBfF
hQ9rYpF5UTCRK1FDvyu4GrEg+ACExMEULB6mrD+VYrofnelqTl14X3I/jMCNgOSSC7SD/smq+Rwo
euDSj7CawaMkuhszTUffDD58Ps1BLpWNVNdBBcjCKA3CCasd/aICmNT+uJBlOcOkRr1NW5ImWgTb
YqaKmK32p7DLX2c/zaOuYvMGO5BKnNY8MH8YIjYQD+gWzlSzwC4J5MIyGD3bOn2uYCLrPX+O265L
uLTvPnBikTYq4W7w0RSBjEdfvvjgKSOo6wc6CZCWMojAxr/4GduJwCxxChNVLgBoaaf2nj/yZNRi
3004fGeGjU6O0/us03fVTzeOht+Tw6EgnVDGipW7spwOAjLr1p1sC62d6Ehk5nvmMJ5Mbv1iNC8i
um5I6dB/+qm3nGGr/SYNT08Dl5ADuaeiPPM3pBbundcFbcIgJsVypR11N4U7a8uTy5vxVYRjS6MB
xuUtRM0YuFhuWBrobTVTJwY2g3CQ506UhXDqDl7dXc+OmJISPoCt0ICmaUXmuMfVHLVdmW+IhOA1
OzLd1E4nT9LR1Q5gtr/3+Lg8AQzmiXZAEpdd5VzPvgq2iy3LV92O3hHLoP8C46GCcddtLrnvyYNw
2+mqCVOajHOljyBx2yEijBVXqa3NqmFMV0O7VF60KCd9n4QkAqQbaQ6159yWOnQ3eW7NozPjg9+l
cG68kSLMvpioho1aD2vsiMOmxPk9Kw8UxXqkA0DjummhDuC072e4tnD6N5gCHaYBhJwQnr7h3K6D
Il1HRuCMwLbrGAnWgcIwWdg6YhrlQOdehw6mD8QvOBfXgVSvo8lfh9TCSjfR6+AK1hGmf0wzT94H
v443DDq9jrxyHX6wi4qDrysMxHU0EoEh2WFaTuvYhMKSTOsg/e9h7qzO/7Wh/+8P819r/f6XYxw/
9dsx7opfqO9wZLMCbH0/ogS/H+POLyHcIMC+KD771Tj12zEOlg9BARz9FKf8H91RHDsivFQBD3Am
o5KH/SfHeBD85Rhf5wGeTyECF8QiX+PBPx/jpQI1M/VpcE6n7pj1zVhf9xam9rhQozEQyuSw7ITt
OsieKpuedLiuNzqsTX7qi/x1ot09lL45ybu6BEgcdrgBknLJsAk6tYertvIjHRbv+LRlRGsuNzPp
QO+DhHdDv4cLnrxCVrqrFeSTAYbs2z4w+X1ZSmCwKaqDdIgraJyZI8m5TGtho2ZsNjBBZ6+z6fNL
mubSv+TVHFx4LbocgkW60MjHU0V0wlPl1A8+5OZtCp+13XSTm/bwLnS5fBoYcOsGOvNz6YU5TbpS
72VeFPMeVt9r6JJHO/A7nrE5SYP6yVmqh4EB1urcfHhCqsjPB5zNWIhhhdxglr/nqz7TEnb2B+/Z
n6anIZcwV1tyRUaSEMXqKJNYkpkxbgJbpRt1dcA2LsufvZSKWPnlm5fxe1AIN4B9PJmJ/O6FwYMa
2KfD4LfsFD4ULvrbgJYmglOi2Vv8/sjLTPk2UwhKpZV7Zwlt0jSYGKoSD03leltdlzWOlB5YtvD2
eQ/RdhzbRFl5oDnFpqjyIIIyt0SdU9Ybr0AMonTmIzXe6glW8UJznEnM2+tydmNPlBae38k7zKML
MXdwvjs6TMQAQzhJebopg26n6vBblusTeppPHQ1XpxOwNF3C+yAFpQDH13ZKyXceLtvKmQ4mNWcw
H1CD0jYxLaCtqtcTNjVfvSZt5EtbRkD7HzYPJxz09Qsu6T7ywjHY+6wvt7i8bpnb9FEv9LnnBYnY
kl5gFLjlmZZRlrt3qSEkHirYRpyp5XHBxy7G9QaruX4ZCq+NdNYfe3yDfTdssYrL3cTZEvlOozdL
zQ5qnG+mhj+7XX8Oe/kAK3EZS6d7Ull+l0M3TIwz7NzMJ4fC7ynUu/ZuDtIHxzq3SzPgFnExDQET
MhAack7cNr0M6bKfq5RgSyAfbUPyxGGm3M08dSB6hXBRD9gIMt5ha3BYApl0OWoT3BRQurdacBub
oaaxGqs+api94qX7HZDmKAdRJW0nr/3CYJlwghNAgLtzQkhfc9bELm6AhLnFt9YxdjuH/U3YspeR
5E6MW32Miln5cT7QLzWvuQWj4ZU2CE4E+2UFKUGwOkpqvcCQPz56dqn3hOHqTDNjsU7Jz2r2lt0Q
BC/c8nvPxTc86lLGVesdQAzShApxlY/Ei3zWQK1WjG1tU9zIzE98Ut6pajxnOa5tm8PWbItyI1V4
8bK62fp4YtDOGkuTpp3mqKn9B+tiNXNa5yv12JtDqw+c74fGUieSWb8a9r1P1pGnHzEOpdSTsr23
8UKgz7l3d9JXr3pmJ070DN87fA+AnwGb/FtaCBPAHuMgF5A379QCM3oc0RuCvMfAm2ufTP1mKfUO
m8t7S73XBvLNPnTqKTJhcFmGsQaLnouEtb6Pt0rrCGD3I53T7uAEPTivvoph06v2sMTNcIOWBc5a
+mZ8dt8r8PAW4t0WRjSbQKAvksKYOq6lcx4Hozclp5/jModJzf3rovDGZEx1gChRHcYjYQgawGAT
KcfSyDL7QUbcyW7H6N5JLT/LiUvwXc2UCOLlCfWaO1v73XFGLmfjQkIuZT3he0LCJKNzInkxJ3OR
m2sV2MOs0jdVT1OiCJQMCFMIcFBcraYtPvygDiKTFsuG1+k2Y3Te+3XbHLRh2zL3ZJIHfrUVYlER
zsNlVxfNWys4PBBkl9l0hyrD/DYnMOlwLcNo7qwThb1CaIPUCI/wOb31a89sg8Y9wAFyhYU72/aq
ELsOUbLEgg1G5muej/kwfC8bp9jmEI6PnqFFzM2CTW7K6n1e18vjYhW+GzsTxN4ycBA1vtcMRouI
9+MBzgEwlK5YsONCvK7CYxouJyIXBeuEabdpudxC8YW0FdwLEvhXS9fAPzAswPDjfDFD/lB7y4yB
6FZbQ1sZDTlpYbrsP/wGcEiBPtpNAnrH7AKvCA/0glvll156lzoFz1tqOe6MWU60T6/SiiZls1xG
7NAbWjRO4qXWhwenPYe8+BC1eq+6FDtmEMKPD2tzUhF+1FTMG2yViKgtIK8dxz65Q/lNl+RStfK+
zIiO116oTdG6ftQy81ktwVemHIZcEeuSVjL8SunVia2cVwPHUzQO8pyGg96iE3BMbNOmsU7LUy2U
sy+mIntq8iqRNn31oblHHm5dGKq+WtW/ckoinvdnM+JSZr36SLkXbuDlKeHAqZ4GLWSkpRwjj5Db
xTFOQip57QKzRFqXpwp4K2aYqZyMOMBc93MS3T4Y0iuRzmrnyPkI/j5MmpKA5q+f1dyep9qrI3+G
f62F1Qhf6LHp3BOv1HdixJedyBD5Vh/gD9ynXfEpyLjtBt3vOniPOoN/tZo8IRwJY+JJIbzXDsHB
dCWo/eIdhoXYjICzRRscBpmuV43IYoStjktntxWcT5FEpiUqTHeaFlzPMvXareexT+poGiHieS+L
DP8xDvBRuVeyrVzophp0OW67HTa3N2xgBzmBXsOmE9HePy5cq3gw8sZvBChr++xS/HLkNgCBi1Np
/XxHVf/BsvA5C9Ia0kVzdgIki7DEIJ7RxVBHdzx3gTIFlIhSPrbWQsroHBkT01yMDK/AsiH/5Dd3
A2ltFEAyAehTu0FPSzJ6xcZ3rYKP3ogIQCzbyhS3Tr1QHBbtfK/GBm9N1OMmx94ZiUoCYtJ1e2gP
Ac2Pdi6+cpcjjWnFzewWO73surBMPLFr5zpxkTwk5UNejeWK4VQMqXxXFCPCYQEWGbq8U2G3vs3e
hS+vmDe0WDmcHF9W8w2hzdWaZGGiMc7YnnD7PGTzBKNaL55cE4DJB0zu2o3Y06zae7o6jH2ZpIKa
29pv1Rw7tfTtRjLukud81NqJJ+DZ9lgC3SkaSbhTxq2uRjLfwnX/VjtckoSlOouyJbAS/rfyqC0c
7lMJm6BD4BhBiBAKBNmSoDBJXRK7lUwnTJVDko76JRUuJAIxNjDTZy5cPgUcz/W9ZT5oRsq+kAF4
ZhLUqMLiRVLZI3kVHvKAfQM1epkkPIwIH5ZxLhEQxd7VxWXJQBbY0Y3IrBHKycE9lg4GGwRXH9/f
+t1hNx/CGYg9v2pal0WVYcnUB+exlzfhEFytxE+EUOU3FyGwLmRXYHax3WjzjtkyI/9XQdMWj52U
7NgPzidCkPVuKRw/mkexZ+NwafwFPO9qSQaUiLDX2MRP6++tVXsKIjPmjl62TedfsQae4XJEMCYY
Y6603ePcvQot3QUzx7DjXbcfRtzRhYcXREI5hgbdRZ07Yr1Z/Ggxxc542HZDt3wrGxmz/KY0IGQ4
srcTyKO2o1EoxjMBMo9qA/MAL74jAQQZ2p1jO8uzzpwzD+dtVY9n5t34vYKruUnalmTH0dHP8KEe
+ly+9kH/aELdRsXibOAGmvzgfsq6GHvveW68N2nA2XYEJ6PKDsscLIdiqN7wBz7mkvhJgF1wk/cG
lIcib0zp8VktYxbppjhNUHuSboS7d1YLErmzFze++2JG59tUlLfW1t9KI9p47KDbz+FrxTU8Qfmz
ghk9+i+g/xXQQwj5e0D/+8MW/xdMjx/8HdNDuIbrHoge6Yo/UbPuL/CDI3RE4ekDN/qTPwct5j7i
GL+J3RT/9Js/B42c6PIAO+tCpEZA6D/y57BVJvpDegGPPMD+HHIHlbyrlIRX+hnTN1k6ceKO3Q1s
d0+2nt3tSJuEwB+Eg7xrL7DrZ/ta+fqFM9PHIa+aqA9IEAm1TCCLxvq4ZPMQIZ3Uxk7KniHWBklb
CNCoCE1slxVrqdVYy2GTj3s26E2ThmPcdJ29Kgq4ffoadO0kctC0wWPY1Ycsz5HeXloIk1wfBXey
PYIRh15Oz1hh8mgszH2r8znyEQDdu072gVDpw0SdE1HDWTs5VpAsdSOnLdztzF049oGqKyt3c+Mu
sV7CUzFXr2nvHXsfsza3w70zZtU2a2AmH6zvRP7E331QwPu+xzxoYa7ehnr69LX/iRRakXQwfydY
H6/Dib7Unq6PZqg01BTxDdGG21xjScCfCW+RuikRPxd0DGKErrV+moo526B/bVe6KYCA8b9BUt9m
urpVaQ5HEYe5p3I3E7hkV1dmx0j+PWjtnfXLbA8+V0Rq5HA322VJCpwTm4FMN0GOpV1m3pNMxfVI
U0SUPBcBVFdg1BrsfUVd7qrRHqjfv8HOCz8jBSwaQJAvC7Mn4czQvAsrLlMHUtL0E7btSrA2vMqJ
+VqGHLAILplNVwzwv0+rIXCppp2SoDYaWYQH08z5LS29R1fiiDEw6e89pJmXrKSvi4MFH3nncHgY
/Co7931tjoujWpgzSbmHt2BjC+fO1ciI0VoUUS1hLy0d+SQtNzAVDyKipC8SmgGMI4IxJVwje0KI
vmRFiv0VpQWe7zwgyFEA/bXfh2Haw/V4ZEONjxhEfVpMz4bL7wFVVylBvrt2sXzbFmd3QIZvYHfm
uGD0lXjVGzGUR8hZ7+aQaegMBTie7L4JdJdMw7IlHmBZs4jtDOvSVARJXZVXfhogAITlDcGje7XU
X06lxQaZC8A4jgizKeFRH0nx4frkBdWr2zmf7qq8v5pH8sBJ/tZX1WfelmHUDOTUTO3ZoenjVBen
2Sp8W6n3lClaowQgfUDwBHwaPiHjZWxLTWDjUoTn2mOvaWAffcddoiqringi0PkQNHjvWHhn2+Kc
AYZgWUMxQDDeWJfd0RnvRaXytu3cA0TqmAlxXDH54NuTIfw9m/snwTI0VvDzyPhacLGnrYqMI7Em
dPMLH4TYFRkW/VKGcPMJAUjUYBOGdR74HuGJeJTtS9upIw3H65LCa+YsT8BsAp9HSuOG2gMcCWsk
SjuRIdVdJ+m7oSrcB2XVRosvdkAGdFNhLdukPQLW0JDUFnbW/cK8dV1WBSzuJp461Fd4E/oGcOLi
lHIBedl40QMWLA+S8hYw6zZzZgO6sdk7+AhwJt3SGWB4CD+47+LaCvxHz2fXlDVFTIfZxZoFxkev
R1ybY53NnHsvrLGs58AqplOoqNDH0OXVXo00dqt+iDLV+7GP621YsnvXYe8BHoeMFLa4hrad7rIM
npmiq+7wPLk2ajKUG8xe8O4h+bBx60pEzDebmSKjoKTHIAOj8EAOX22/pPdFsxSxbN2HWo51NLiB
/DA5OftwWW+gyd5ZKZ9tPt6AvtwrLr6WSdtNX6c2yo0Tl6oxSFd2nIQRbNfqWWUkyK4XL5tRDzBq
0JL8xEX7EM5AD60KoIAs+k0vMtwYJMyh4C8v6QjTXTB2735PkKwe2guT1TnP3BvK07epG77cAbY+
WrfHavE2ZcaqzdDz26FcrocQ5KzvtBrvv9mIarrCyksBkmoHGygYLJivH+jk7GUKfVAXT8W49pSg
CQd/zfISltN118xPittbY4sLrgd8CNPwqEqEITgkpT6TcFw5NZikcUAjQX9f0/nsgqVAXurEnOmx
9qD7MX7xsy4xIThWgf8zsTxIgsqfopkzDDkfioosULlRO14frbuYlWZfN/W+LfolCuDVzsDY4SSi
c8Rd+BR8N612vikOyyKcAylhxCz8HHAYtq967r0DHEMyCStU5AAI1WBLAe8hurugZeU28JDO/+9W
9mMrc5Ef/futbP+P5wv9dSlbf+63pcyjyJr7DvXXQCQeKgKh43ehBTF0F7ZnSAxQ1IMQq9w/hBaG
ymtoHxzFKWt76g8zzj+WMjx7CNXnSH/+U575D/TyP69kyHpTFDaipwC+G4j5f5JZ+mG2mDXcXgbn
mEEcn+90t/vpQ/mHRP+HFidnldz/mbrFu8DiCQI4hEvGQ1CS/ykP6uK+Q8tJZy7UhoXToYKkK8so
p15NL7mDUo+k0f5U3i5a+uK8JkJfYMnzylvh8DnOHTV5UE5N3CES1OQIHKTVxqdys0gXvORC43mu
LikCmJVGoUsX7kmj73sHvu05dzdLE9xNstvD5wJVGaUtqDl3E86aI4IJN0SU79VcfiNpipikORQo
YcLuAVZB5jdZ322EVx2CHHESd2q/QLEgQCJtUsEiuJMNokNEuVWEQMu+GQF1h6B4DMS+oV2Mt/eS
+c4BQRLI3a45NlP9WXUhCqomhqVFfabGAeZXpo+0M4mo6dotbEdXaR/YRNTrYWVhXzaB8z519ZEy
osCx1w+jmx0RKH1sJ9jpPNk/l2ru4ny2H53PjjNra9SEmOs6n2wSNgGFDyDlcarbezxsBzOa6X6T
zfRaZVij+47eVjbMYCodXkhBoWcjYcO9QEXC67+KoAEJLD3UXDX6Umt2CmzLcEI3MqrKptj7yI5H
oDCzeCqGeiONh4k3ijJiZnl2Edyl+DojPZA7bgnGv1c9WBUaoN7ylTSwWnvWHJCUKs5Vb90YK9qx
g2U8ctyGRa7IrrL+gxZ6G8JVAQ+/F6PTCkRRVT+ny8jitBHgvTP32IqhTfox2C0B/zASg9nO7WkI
2IfoVJ6IQn4JBRSfMaR1mz58wP79xaSNnUZ+ygZahdsV+9xrc9A8ItaZuoxe9+4WBWKeDOoULetD
JRFwZCgKk2Jd3ikcB6zr7YYRJ4x5PVwwdB7HbOhiUvWHnObtKqHdZ1PfJDrIhrhOsVqwtt2MsJwu
qx0yFMW9R8cY43qttRmfSwfEgZz9r6II37iLop7cenRLpzKFwSsvr2tVtagokibGufKYIY1UM26O
MGPdZFUQoGIFSUQXXUdjUeHqsc2wERafRxAsr6WfPqCAB17Sov5krvW3Y+s8llkFuqT2ogktT1g7
etDo5Ksn4pWIGfOmzOOAuhBHpxSL0CZYfO1tejqXB+Ph6t9Y1jbp3uDTCJfQbR54ZpcIRl5c5WFV
PqJ3ITzwZSouPrUPTePB9Gk+FcCXLE0VVdp8R1IO6hi4coxvkPql7U+owCmeGeuTyk8rEJdPNZpz
dnM+F1dKgzYj5K4dinC19laIT6QK6eLRihMJJp0gy6zjruI8ArMcZ9TsJk2vWccVzM8ExucuNrg3
4UIx504HL7ngn9KZmgjHWgO04W5VZeIxn08wTH4j03BC8OGo+PCaDaxYz5y7tnY3hXHvtEsP1iV3
8xwkPsmevNJ/7QSHwOycQptdkHy5IHN6vXT9doHOlobzd3BGFaixIim7vtwglheXDQxJXdtjBePb
1oznINCbtkFdGAX0glhrIVYDHRaCQDIiqBZqn5QMy03qdZ9dn2+9Znom3ScfcCWOfrClrAhUnNa2
AhZKLVzjxTATsnHGOXgKsnHaNU3rxUU2wUokTG+QaaAvSjNyj+aATTDWyDdXBc6tqNTMzJHiC931
s25jUQGRCaqeyqbbtr19sbZ6gg/zFSCL3joDXy4YeM22rZpvjece8pZ+n1Jx0yzzOazCLKkVyHQO
6SFB856ISVHJrVpU+MAQ7L3OVH4vs+wdoidZ0yTVqQVfBXd3T/F+IHehy+619vAt2vxBSl0kISXH
YexeBgTyoHZQtU0JfFcGf180SswepDxxBgyk8pNuMMsN6QV58AsoR/Mc2k3WarB5Leue07AbwP4H
ao+7WSRN1SfMH8f96PZ2B4IcAXel552tnRz2ahNGWQ/hEEoA31tYr/YwjyOR2t91LF85sh1SH3CE
k/RDotoF6MJ9AP58ad3pPuOtfwjZ8KJDq+HfWtLzvx67WB7+PHTR0Iislo9wAZ509qfJ7leD8YTX
DBctLFjxm0I8+PirObxlBXv+16/1xy1iHfCAWujTgCEQLmBwO38kdrpOTz0aE+1FpJsUHXzzNif/
pjjk373E+u8/ZbvQx1FVdqjsBY2Q8QxOKB/fmLn/P3gfKK1AYhfA1ftBYP30Il0O61pRW3uhLXrH
riZyJuPhX7/EX78WfFQ/vYT/x/fRQ0jKXDbZCxP3qtkuqt9gC6mDb8X8b15pZdP+uHX98ZXWv+Sn
N1PlI1d+jzfTzEvk1lDMveOgwN9uRnVc1PIrCPjb6pr1D//zy6HZBWZwGMgRBfwTuddnxbS0vWsR
OXhxe8A2/yHLT7N6+fH5/f9u7gcnihv077EGmEk8WuuvSGP9qd+RBkADuqw8CkCxRpNwi/yONNxf
cBbAt8R+N+3+ZulCognc6BraRKMVrnp8r/+kf8Ekrw+/9AOIen7wH3n70dn6hysEIVDkB/AQL7Tv
AA8AEPzpFh692usbEs433A+7rUOqetMxpyuR3hFpA1qwmDg8VBxGGJ7W5tquVKniOy5KCEQt2nRk
7vCrqcacHgtopwO8EPAiY07NtNt6bh+CnbB6D/ORufVYa+Bq6MlJzRnfoa70JVzcIibc+agbBqNv
vtwqqRGusbpKiBkxa7PgZhFwANUacfTMoIxLauwy2ENhMpUZJB/l3SJsBHFO2SFBGGiDphu+x9IB
9xOFc8Ith1qg7KTmsTTlHUjwT1s293qUV0atdlhndeBMZDpmq1K19KG5cQb/zfO8u7DBb0lR/YlH
ZNkE+mHSTXWVpDaEZx8fDfWqaMrGW6dcntRgHsOiOcm8e3MI3YGYwh+7YEEGp3nF+Axe2vLrxYjv
CPyXgEioHRDeeJoDreO0sk1MBhCSObS80Es/ypx28G/pbQrOKyDNNVwML4VUTRRQk8YyV+0GSfL3
RaK9QmKDtcLcoUypip2CNuLSUUHmHRnWOsUcr5c6Frw7djI4YDet0TsE97dOaHeeg91ubZ1sl89F
CDT1BeOpnniLzSyAatvNYDGGzsRMFQiwCWv2YYZiTuuxZ/De1wOhGQJaZjNOHpq75s808DeeB73A
S7M1xPo1BJlOgpLXSc8WvXWdvroWlXdJ29nHsQSy2BTmNm9Rb4O0PgzfBN2IlfbXDYBHtQ823euf
ikLfDo4CPe+DogRfvV0D75Vq45yC83H92wndRCCXw6hX6G5o+yoZiRo3wsflKjoYAxCu6qGsLc4+
qGp0AaqOwcaF7lXZhE8woVxK5KogTvin1Apk35tuSnouvznzksX9qL8FE22BeolMOpQG7MFHssT2
ZYmWFiaBpQYHOGkx4JQyhlUkg30twDWlqbf3lLruU2isyFaAhZpQTCIbENpIO57Q8ngLAvK1Dmga
1ZMSGw6xU/neHsGhPh6z8Gaq4R+viMfjIHcPTgbU7huEgMGc5VFRTTd6IodW92002/IDrYuoeQGR
OttLwYYpcTP1iUPqjLYIuBusOI+WOxukTNoo7erxKpy7CzX0e8EA9TqT72k1v9siPEPSvpc16GSs
m68VeNSoIzxD6WtRbE0G7zQCgq+dbm69DOAJrMJnscBqCFfAbhlsEHsV8aOOrUWmmbzXeWZxU8tq
Q0z5XFv97LarlDMyWMuKt9pHu67ba5BrOgWkAETAeH4qWnJys/EoQuVsnIlv/NwcU5jWUTg1xCN3
XYQSySuS2bs1IKlbcOY26MB7ZsFLj0qkqMxouB9NECYdum/21sWF10CqvvFKLUjSoLnl+3/H4q8U
HMiivx+L67OP/zoUXfzMb0MRxQS+66MuyQ9g6fjRPvD7UHR+cfH0GYY6A89H8gTM3G9Dkf+CJ/+C
E0PZARbbNZPy+1BkeKIR7NFOwEHScw+54f+AfvtRhfbPrQkzMcR6jqZJGPfRwoeh+MclLXBN5mAQ
9eegC6BCQb2AXpJ7VRI0LNwFo/jWpZndNoajfRtBLEbQSCgG+OoC6RWv0oP/DtVeemgOiHwaBZRX
WGcDNWUILgZMg73U1pwNLeUDDDMgpHO6BKDEl+5WVHnxRiu+3KKrJdsZJ/XcTQY4ks5RrSuZeGzJ
tz3EUxy4HDl89JgRBXHERWlY94rSkAKIdALzDu8NHfxOYgjXk3SPStlF32cLus5BkqUF2AKdtbuQ
ooFM/g97Z7Ikt7Ft2V95VnPIHD0wqEEFgOib7LsJLJNkou97fH0tkFdXSYqiTG+siWQ0MgMZEYC7
n3P2XttE5ANU0nDrYog3oFMqb6h8eQPJVfaGESyXSIz6AatFJ28TezJmT206gMuTYs+jl3aof06l
6UtoUzSAbwC7Z+PUTU1YuKVSGLeRYQB1Z0iDGgiH9UYuw6S9TdSUESDmsvQywvRWNpXJn2FlFU/z
oAGLKxmPxDUw2sLcoUxWhffvI/r1EVV4cP76Ef0Wpvznh3T5qd8fUoWe9gIV4eD69Xnjr/77kMq/
KagZwAhi6cKGQxXz+0PKk83RlaeRc+vCav3wkBq/0R5XSSNSVdrOy1P/Dx5SRfm+tuEphfoKCwBT
xPKggpT9/ilVJWWgQ5UkFyZsbb1HX82EK+ozTcLEDK7Vy74qtLoqrq5lM3E7JcPgnm3H3U748SZH
GkoTbxUj9YJZhUQA8ReldH0QI87rJ5/aCXt9niwjIcXB8n+ZIIe4epy121LRUyfCiIC8/TJKaQ9A
Xnn1TbZmvU4OpZivgBmhevbrB0SoGxoM87qzxodZDJ+N0rwpVXDr4HrKbTCCKO6sYqs1Nu7Y+L0v
asXjmMUAU0ZnWXK2uPfpfEqainhaTK2DuOxiFf71kEGKNpZBe2DMC7TK2vZGqcDpwENkKM8a1jf0
iFiR+hhwc1FUvWfrWrxltpp6Nic7BLO+4WVV+NTBZUEWjJI8SPwEkZSQ12qYpyuOdhIjdaMNtyHL
noCDxNxyhe98YpmR0i1OrgWAHnOcl+X0IKo8uDFbc3w0etbNwqSobcZIv0SWAtlAjuQztin67ppy
hYMf00hDd8+ozBZ4XdyswwKQFFwTLq3EFs2fqt1iCJzdKax71GLyCLot8Zt9LNf5NWY19WCVNar7
jPMLIRHYXaO9ZkqGvLOTRkrWCj4A+muJ/CZXquZ2nUTbPAb4zICw8y3wBgkn7hzdAA2ftdCzay22
oSiMy/harZMvadE9Qu8/FkIELlrmTcppz2ErOtW2dGok+vBhFrl6md6MIToQpX5WpOQYD9ECSc/u
VHTpHpruTxpySSUwz3k2knEQtmZyhUY6UjxV7dX4nOlhPJ9kXWCnTQYvKWPDUbXe3yVTuOsy5KK0
enM0iYrlZXPwaQZkt/IFeNTSXsbhGbWVbud4Wmr9EwaaeqVrIkGQ2DauGo5eJ3PwzaZ7Ot+jO7W5
7kZ9H1OEkPPg+5gYjAGhstCLrRTAghJW4I0R/zLmdUPZ9kwG4fC69HyV6jAurBnz2xRGvStGcTZ1
driEKf4KaDHTVgoKIxp7p9VTxYvSRiIURHkxRpnSbipumWdECAQGm+5hY8J0hQwZWQApKclXjWl+
yfzgMwKKFAlD6qB1oAkrxVeQVgfuAcWTRWcio5vAKcrLvlIM9tri1id5g1amwCbt+jrD4JUUFPPA
LNcskn3etMXdv/vHtyMea/pf7x/Hovmf/5cHX9IvzZ83kYUf8Psmspz0wKlo2sKe/d7RhtnN1uiF
aiZjWKacH0562m9MQOmRElYDXxB61R8nPVJKOQRikkPpveCp/pH6bWlufDzoobnDTAcJkEhE+rE/
Nj9iYHTWkNvxucu8WTfRGW206vHDB3P17dU+Tlrp3/7kKiqKHlVmoyBElY/nY8+v8qOU85wen9si
jlK3ANW0cFAny/FVJfFiFapzAZ7waAYWjErkRk46+wcAcvENuSfXaYT+RQ+j4yBE5wpZ0hHZdMxo
5Eg4IoCWwM7W9eEp6u1t2clHMQ/XEBxP1Vwcxlq9cH7di5iQnKwHLBKLCk/pBJbJ75C8wmb6LI9M
p2CE8pct8T1wQN4jzpb4zQzILzUIEapVfp4AGuwVmOKM/QBVeeMPo+m2UgMlx1agQnVzgSaozZnO
KdoD4EETxKSuvoDzbVYSPcpNJJLQ8MKuKlOvmKrksShkGv4W5rFtYFN+72QVYS/8BOtsTM00bmBq
sfAZGIZXLdWp9TArlcGoVwF2Ks1AoORiYDiC2NAEs+h0etZOPn4tXbpYlSKdeH1iIFiKk2ViVLAZ
W4UWucQA1VhrONSzDUaUulqy78bKsK64XqO+6FNgNgdlKvrCZS57U5i1Pl6FMoidKpjsg10b5p6p
YvAsDFl77M2QGiGFXaa1eaftOIHQPKGZTX6OFfa+4Yihse+LwsJsyAnZwwOnuUo5hk5KgI1TBcFE
h0Pvz3bXmV7LZ37E0tG8NmFwGCdEv9NoEWRSAThmvOdRVWFRQ893w4h4H4uJ/Rwa1k2A2nGF1RJl
+WSH66LELTwmGlZxmeoleiS+pT/y1fWuUUWzV7e4LhvKILbyMdobyPw8E3Pypm1T2cltdoUm7BX2
XWihhtpvB42YlHBUmuugjGXPkrITnYETHhP4HHV0rRU6NvMuJrop3ZIwlbiBKq4ae7htZbO/Z8Rl
vTNXxxKduMYwGu9F1Lk6sSuJX8l3QurWgdEisCsSz5aydWIRjDNC5W2M8nPTtKSh11+meHqoYsmt
1X5PhM+aBYT5+bzRRtzfVu+qdrulSDzOjI2Dun8TeneqMmmdDrKn1pixuukTnJ1VUHyCIy27g5Gq
mxFCqpvo/bNuRG/pbGgeSOtm30JtBj47H5VMIWlEOUEScIcueYaU7jatmrq5ZXp+b6yRd207MT+P
fuMFGfrLSlQrFXsbSqtc7GIdOpA8hS4N2Sve442OSModozlwo9rHptKL6BRqxJuEvnLdppjigaAc
AmXkZsZzllajWCU+tinAJAebh0gUJm7GGou2dbRK9aiNxSMBIU6im7edElznVXk0+XOv2Mes669D
O9qnCtlJPs7QIBhXypTQNMHI7nQw1p2gFudESl6KRH4pk2wfNcmhSK193MnX8yC78ETdIk1PHCCd
Kq2mw2yaW7IHiOzBoVYl5razddeuCaMhFGU1zcPeKuZpV815vsdj+TmbfJAGnCndKUAPp49qsqns
cuM3TGrnSarWv1558T//eeWljfBVsiP4W+uH5nY4yag6jRTBfpUoXp/aEzPUKXEz3I/HNlMHsC4Y
zoow22Xl/EUuq+a6qhJxZ9FwXhXjeNPV8VGMIOds81GM7QaGyjsk2AAuOO1WpKe0IheT/cw9nfoR
xia9cYYYJoVW9YprWu0WV8gbTtnO4XT7oJhh5TG4RCkoUBGkZNJUNBN3cpmYtNHyjRzXGwXNYqoU
myYzP09pdot+ZQ8F+TA36b7qADWVBWlbir1pB+jEzRRtlTHUnQalpeHjJgi1eBMAi3Qb0dxoUyc7
oDL2IrR5rqn20bLQNIzr8T6OgO7YRldxLygXLZpzBqRwKsYoOfXlfA6beJcMNPsZtBP0VO38pW/Z
WUjXyFhaI8j19KA8wi6F4pMDGE6HQ9plW/Y1JC0lZs9iamBA1BeyhW6YUgarPu9T18ilCE4G0W91
fRWpxARl8EFWdR3faxNmFCRxryjqD9DWo9XIDWrV8xok9GLOo3OQ6StNfiYIys1UhJa2th1Yh9Sm
+FzY5lFUqD0DW/rsy8aMQpbiogMGlqSZvIMGyFrWHiPTeFJEuhaAeFfYh57hNMhO3EyJp4XBRZ11
2QX1tnivY4u2bdw9FKpKiFtU1acUB/ru17fqj8g5DiIGmgP8/Qutk3i9748I8VwPY90TgeB3kavG
+1r5u5QCjkwfjjq8JFgp+DAWPTcUvNbSjft4CCH3IIcUGgTn1ADBb1yiLtpG5U0NEjKuKUUNyOLx
t+bKX04fZeX76dKfr/rDDLork7bUVEk6iSm/BUOjrpgFgO0YngKmIasQFZbTWvqj4au7nqa40wOs
56kYFpNhVDh5PT8VknmMWk04SIYIRRvkNyvUTDcT8b1hZYMbJNPBTLVnw4cgL6cEEXI35YXXzWbu
WaVUuXKJoMHMp2nXgeB+K/K4XWtzBmQ5ij6l3KteJdBqsgJPbmsZwuk7+7bT0nnDengPJ0PZZQGq
uKn9TK7blk3prqnrtdHAH1b0eKuKUPJiyJOrdMjJApw74VSYNd160OkBROONEubAESKGL2pgUKQh
YWn696qh/9CU0a7WpO00aHfjjLpGJHu9xTNElEsACEpNnbiNqPM7fZfMMaFi8BAmX3HVVKCV8RNW
WfHYi4l/HGcnKxw3eT14vT9zB1OStQGgerV0i5houHKOLbdO/VOJhxqm3FYuoI1awXhL35ADXCnd
dS2oAFWFvzVTkkvkta3krng1gupUi+y6op1Zg/rGT7XvdWxWva5uzdxiRZTl+3wKt6OPy7evu3Np
sEfGJXjBWvtiVaJzfLwLla5tglI7mkPq/Poh+qqL/OM4/+e7bTmIfxiuD8g5ewUg4Sk+5lfBWVpX
h+ph2Mw7fWscLbYe55MyrPS9fMpfhr+Lnfphsv+fB8xUVZloI5rTywP44eL0M608AdB3Kl3mVUfF
Kdcd9tyD9GiumVjcXyTn+Nh7JEv2r/wnPU9HsdpHa/+8xMX9zW/z/cb37ZNQBcdLSzUoo37sjU1i
yBg6x+E5FFdAJ7HzP9b99tcf9/dr1p+v8QPTiVZaJ4UhTLCi+hLUW3u6/vXr//Q9mMI2TZh46Fh+
+Daz0ZglPAZs3tJVhY2h1jlzfluh/hUuLJ/WX5fvt6+fakLH8rb4c/W+/OTv1bsikxSOuF6YxKip
oGS+awFbdF8By3z7G37q9xaw9RsVPSFeisr/8CTzpPwhXhCyxWPIWYxwSw1b2z9pAS/M1w+bGi1g
7g1z+e1QaqBi+Jp58+GZQ+qZN3MxDpcxxcKvdVG5JlAu9hbVY2aO7Zr+H2bOUdf6ZwJrDuWCqTIE
bgKkspHjM2hwgcTIN8HCtbL0DKtkbjqGiEiWaOdXfcFgEUfyhcxSBvAx+QZl6t+qnWScOMeEtKKQ
1JVIG87cwF4chA8tvb4BV/A6sq19hsFMq+X3ZJwehjCDEZFcqrR2TVnZ2sBjVnZMJEqUsTzHqRys
5omCYhRa4xAmEK403fgSm9r9YEgvSS99IXe1ck2s60RYICXIi+xzhY4Cn5R0bkXfwQdh0j8kA0Gu
tvE2hVrich6QId33oKI7DnHdVDyEWXGtGIFHjAy46gm5dNW1PYK7TRecgmhnlOoN8+8TBLUvM0rF
Kb8yZHDx9ELP+YL0H+PHrKJniEIhzPW7Xmf8LOL3KdBKTonKNQk808rq8Lz2QXNfSK2ymrqWMiMN
0/XYpiOhsHgMawOjFLgNtzUHbdsgNXHUFHUu7EJzNRfa7GQRbr3Gj21Pao0GDWCwTUKN3AG0FfRx
4xtdThV3JCQG/AgSUDnSe4xhknpCpRkRY4PcIbFQec9SjYZ+BEItFWLTjc1OF3JEBdlGazI79W2H
AjR5yL/aYZTFGRN/NcmkXw0zaT87o2oMq36MBo9z1DuC8e2IzSZs6wT1YdOazPXbxn6plylylham
5NoyKb2RJvtrBvnyxRQRdsnZ7pxAmfJ1qQ3FKZuV6N4arIcaayM2Z/sliQAE6xx7LwMBIghgOvxa
k3Vn5zj3kN2UNAY2KXyILUjae6nzZbcD1+GNPiHEPaEaN5m2yEMaJb80C9qAPinAuP40gsxkbwfk
VmomQV5VOl4RfoKUvhtKdNf9WwPV4WAmSo91KfxSynC0Z20SXmTLZ4lxQ7sSbGiZpMuOabfdtqaD
slVqI72tjCq99IWZ3yXK1HIQiBBiauVdYRG83BpYGjvo4QF6zNFgntJhvwNq0RWrtpguQ2v7jqTW
GM8hq3l6pAyHlgiM9RTRZmon/Mx+6VTh8IDsGXk1YlP0GqDJAs2eVsqoSTtJsoeXJB4GoAKV70ZW
m2/Gskg+JarebNNugONXWftkCMctGDaLtoc9czqbS4yDOgm7gyr7xzBQrZPVT+eGiReOdRB05gKj
g21VkycCoK5dUHWSBbSuIZ51lSwgu6/L8L/70XJW++v96PSKyeHPW9HyQ//din4Zig4QnBmgztAR
MhA/9cdWpC7AWtITcTjT5+WM8vtWZP62aAk0OsxURBrN2X+0FX2tn/44ey5bEYQDpHxsifwWvOD3
xz+LXjUMFTFf1Cx8qNS0Rf82wdAqK+qPOVtblbGR8QTrk0SRYz+gWA6WB6pwM9u4iy0ch0W7I3jY
Q33tE25owsPyIroz9+kCHCwgDwZSXu/aIQoA+KSx9Ma6l8HJkJcQVfNroKr+NVt1SVltlrzVbEle
FUsGa9EZt8OSysoNfsHDDfh7CWwN52RVEeE6EeWK3PpeLfRuJZaUV1EPO4PY1zCy9uznTN+aTzWk
NNLSh1UQi5syVq5sS3pQ+oYE2VaVVz6hsn3Jgtj5+fu05M2G+L/9JYFWqam2dGW8tITTVmmMfbdf
8moJrq0GEmxbQQvMJtg2ECTclkUorxPTMNH/SNq0G8ZCckJCcuXOvKjYojvCc2cGQKg0TEAoIT02
RHQEVT2GS+AuCxy9WBVSY+O1OpL4iPC4mpDeth6YtZLaK/uMh8viXREypUp0Y3flwuzNjmWQ7eRs
ekia7iAV/buo9ckV0oSIifwxQKOkfktk+4EXTbZVI7EghWSDET3u+goVDtF91kWZysmZ6W47fYvR
OiwGp1046kVM0zYTk0SeEylH+YgZEwXKp3AKCP6Sp03rx2irRjqvlrKzDXXbdfXFT2vyL6hNT2FV
VyVaOBRSG+ZqUHCQvu3UFjlao5O/xBxTLRiyhnm/1gBXJsjbk3QEbIb6K87H18BAWclrLgHyNPMW
P07YG6hPpFdR4zSreyBkckJzqrG/MO1mPeSD9SwB3kzpQgMLvYpOL69vGQVrZ6XNioOsBHSnTSzx
c91tw35kxzZSzUt707WyTN7Q62nXKff/uWOQYUraTqqaBwY8W9EpD0Pfku0dNsJtG0WmFlLiY5nj
JQmIavVCnemx38Nmy8cl+UuTFn6zLM7lqCrXOKDMbZT0G1srqZ+DfZYgHRwr5ZWySHeTfIoupkqq
HkPv9WRl665tBpqwUeroQ/42NcVa6aOnIkCGRyKyF+B0d+J0Si+aht1n/Lsg0R8qGgiR6B8WhRK6
pq9TrO/XiFIdgeNLtnxJM1JjP+u6+7eNpJ9cwrZNQ9UE9n4sfj8UTVMZjA3RGdolad665Goq73L7
+O8e9U0yw4f5iz0KGPMXhgt/3qYWTfd/tynxGzliNjRO8nPQoVGxfBDNMLFUcTEYBlYbm73o923K
gO2JEZOkU4023R97FIo3ZqDUwJrJ7raIx/9BuURd9mO5BLqdQyTxYdwfiyvk+/svK1OtmOhEnjN1
7tdIyzS4ueazyaC/MLtHpTXuk/kaysNGqWRPqazrrg3u/XRGqcx0l5Nj4lb5dDKO2P0/qUNyn+Hf
d2W1jjeEsWEIB8nAc7jDj78VQb6gBou1DrXQCXvEDKy2L1Lel29ym4P3RO/soTX11zOAhSEixcIP
6j1xOTj6F1INxJoccs0steCGQNkMUfU6wbaxQ/W1hnUzLtAbox1P7VcMzgLEKSHjdMjSAFQCy4Eq
/AKxPjrkpex78qAbroCtg3vpRSywHQ3qjr/gdwwLkgA8HjjBZxv/5QSnx643CRVMteB79Hi4B875
DAh4O8D3aRbQj6mQodPACAMCJAPw4LRwHoEDEVXqVAstiHjAzwX4ILK5qlVlDGc7gtFRRMpOw/+O
tY4jOSPC26WzZq7LNnmuFiwRv+KmWUBFLcSidEEXtV8hRgvOyNcgmy2Ao94gzhAi9Cb2paOxQJCK
FiOlH3XeUMQ3ZIwdjQWYpC3oJDIntlWRfq4XqFKrNMg5arGpF+CS3ndXk2VvIZYZK7FAmcJc/dIu
mKYUXpOPGr7RA7J+zPpNLEgnEimPIW7NAtbTaPg2dZ55ZDxwwXh1zqBCGbGOoBpD4BCETEGw1RPj
u2oXlFQqgErlC14qoGp3jAHkVLrAp0hia8jhAUgVLWiqaYFUtdl8Zbfmq15Ku2DZQrpGQcCO6khR
puvBNEBxygw8KvXTBH/Ugddwk8tZ7IZ8cwA87vUC+Cu2TE+YhnWsJHmXWsWpjPFgZuND2DRvNEHZ
DoaJkEkD0FeBTNOZakhnSdzu+gkibM+EuovQv8yo0Ba9/bUPDhFf6LjN0Civ6wB6xjxRGpK9oSpE
EcSm9c73QWBgedHqcJ0YYkOVCiQzhJnRM8OdUvU2nvMXxveHVh5OxcxMYm7zvd+0R4E5V8kYTqai
3Fm99RY3wc4Ogw0nz3Rl0HkemiWhQLqPCmMn8mLf0VwtDGOXiOAiifwlb9J7I6n4UOfhqKn1gULr
1PUcWcpkvE6zfjP6cNA6A6rusIVOtZNrbU0qyLYKwn2gCWg3k3ooGeUMjbgiWJfUmJlIz6B9Gkz8
sI02rwk5vqD7pzcwm/vaVm70qDwkUb/VEjgZzKy6XdwzUYKMi2Hjkpf9pyaaTFgLym1TNI9gOQ/+
GJ+6UHPDYLrJRUo9xUOfpOQjD9FjkJgbMKzbzIisHVivjdEPsMbN9qTmEM2JzUalFew0Q7nOpN4H
+FsBH613vS2exEhrmdjK1LWV7obYG2DeHFEYV2JimLMnJGNAACGyUKuikoXwauU0O4yX2bI3g4RW
ywbGF/XPOQeaRhfvcwOSLUKnNTf+U0QCEbbQmVjcG3zek5NaQ6rALQcuO42quodvyWDdSA+A3I6a
nezGtoNUA60bE/1F69ODT67hKi6C0+DDwiSY9K2HZLGS6vSMZ3lTFfa5Zsjo4BBeZ5WQvUiXHyK5
O44oDdRE4vga387LV0jy21spjzyNgcdBB4W89DiK/oIp8CwS0tTIwPXqaXhVJM7+URlAO6tKt2r5
LmoZgmYXRJvKyl5KVT1NdgYMN6q3SRFvEqBBLn2LB9MQ+4q4xTBE+9hI12ThAvTV7nBOMz+Z3+LU
vJ2RWh1zvSoxJfg3ZZafpKUQ8aECa7P+IpfGxlT8laYO+jZuma2T16lsExz3ihJ8SSZmPmZeCGww
01GWwfbJMBzXIgLpVuk1Z9iwdJQRn4IRiG2TdU/NEN1W+XycuuDOr5ttLs3wRGmk5DCeeM9Q/NLH
tgp7skmvEnIsYtE7SmyAOcnGja4VtB2Cu0jMjWsRgCYx6mlna1c3xvWcyts6sPlo5ItUETEawozp
O+WWTHLLE8gLXateJIXycF2qxqlJ2e89BG4KmJOhih70LGpZ/A3zoOT+MihN+3VYGausms1VZPU8
nfMRuj+Wh5q3hPyOkFZcC0FuXyHPgO7U9rk3SxFTWTLoVkEPCL4HewGgytOMPKZjNQPxs1QZafUi
kAuQcS4B0lhSRpL2VkVv93v8IICZpOk9r+l28RSvEnBFjgq3EzYypZaepo99ESiumAxakowv1jK5
v9Iqiw1mPFlwRF9bXvJKbp9i2YStrM+1hIp10K+bIZ/3qTWjHBxSDeMwslsZqeqcurMsHQe13tPD
uoL7vNbG2ANv8pBV/k1Q4f6vyGCGRY8rxCLaRK6eYMvGjhkMXi1jEO6TcdNpPsjStn3r486RE+tZ
89VTP0xsMpGLlmHd+vqKufFdyQDXtczwlZX1Qaj11h/Ci9DHL36sHrKZj8kOI48bCeO5pD6Vs34w
o+yEIkt1DNK9MeOvyUneM3tEFzLhLjZq/xILWKhJcdM2SxMxm3fY0o/6GG2xR62CpNxlNmOkQiTo
5qlG8Sxf20N221LM98XEVDrP73JGgU4mJQcRDTshpBOmB4ej0EYZq13r22jsw11gVoegbB8NTT2k
ObwElZ1WtZC9lJ8WHC4N5+vR56Qw6aU3+6EHn9nRq/ZLFtpHKc+dhptuRNbU2eknQxXoZOx8V4jo
pl6om0rk2Fo8rdTM2IajuG2WRIs2x8qHhgs8ZuAxd177IHDtpfDsMAC2sbzNOuWptzSM5vK4hnHs
qGh9OVpUxKIDf5vS5CklSjeQdcK00SrbCX3BLkiZrscPtu1vVGu+EgSdIwWT76YBIXFcPhaI+lw1
Y6Yu9dFnvy564BRDhzBWPeNDOvuB+jKK1vCiuFzSIjaxHe1s8ivWQYAYLpm/lJN+bkvQBqzvpHkr
3CxBMejOYJnYfKZS9vzJsC6FXOxzDcxOapEe0orrVIP9Bs/MkQJ13RBvsPLhma7qRmTbcDKe9SGe
bm1WGrLNxuM4Wp0r4Uoa8WCUkvGsKLG/LqPqSTDvXAmjWydNnzp5w7u2fACOy9JToVHqwd1vgxqf
FDLqU4kkF1ouvnalPpRyUBHsi5WsqrN3NMwNR8Qqh/JM9m8C2LuvboNoLGntZrvBVGJECh0CpmXX
1rWnUeZBixHkuvVIkmI1aWc5ic4J0cJarIWgUObmWPr1UrSqj0qQBvsBsJXdpM8kgWnb5XFHvYXq
MGc3T+pefbZC0Eildi0PY3S0VajTcrkLSnEHMpvmuw6Kaeg2gShckSXHKqBrbmr1KtCzd8TqNNJJ
SKFhepe0xT5qAcn2BufMYfQapX2a5OrGHokFykvzHMvBOTNjiFnahKcwfqhS+1kb1RukocVBV+Pc
62hMrJVWe4Y3sLORAzl0SvJN3vPCUiWvCzmirQzjbxunpHI0ecnuGGiZUG9HOVYoI0BvavCkJk2J
nUQ1JE+RIx9U1oeK7ydazh+q6yW1i/Qaprvs8bZKa+b7AkqJhBgVJY8uYLVXeX5qADDb2u2vL/K9
r4G56teLIBqkT6CSmbNUcR+GWomPZBNSQnQR007KT0IKaYLdtcPdry/z/ezsP5cxEedqAgmusJZf
48NlfCFsqgDBwV15H4p7Sf0W8/GX4o+fvL6JO0MotCL4uH78rBo8QkVhZOklH7jRtpb/+o9/fwbD
Cp8QHxTjxB/sH4GJPFLVq+wC+C7Tr/T/tDn+8vf/0zx/+Ro+fD4/fNco8eSQYVF0AWQsQcqV17Xp
YvAcv6Sx++u38pNLLQIgutQa0Rq4z77/KlIrQLE7F8lFxFuac/grYSUGmsM2LJWrX19r+bX/6FN/
/dq/+1qWW/zD187UK+uhqaeXUnVs0oiou1qXNXXq17++0M/e1Mfv/4c3lZuxXXTWtwupEVoUTFxr
9pFlKy7/5l77yXMJ4UJGLM7uqJJo9f2bUnUAnGy8jLxI7khf+9HT/U+/fjs/u50/XOLH221uSMFF
U5dfcus19p816X9xOy9zAxN/I3b8r72bD98L8zi91ch/vEDSRMu1Sqf/xeJFt1YYi/1KURGpfP8h
5VLO+d6Qi8tsvg7mucvhObV/s3b97EvnJsb7oqm6Ji89ro93lx1mZT7B6b/UHPwmxwLQpV+TTVWU
LrODX38jP7kWAFws+PJiIqX/9P21iLekyQa2/ULSCPJn1GIh8s5qVXDGuvl6qX/Hchqr5l+3PG9f
8/b1f1av9dtrze2MXoR6dvf5//6fbynkyw//3veUARYrpkYDE/EipBa+jP/2PcVv2HhJn1OATCws
jD/6nvpvwGnwEDI6o2IXS0Py9/EcgD4D3TmtSvM/cb//oPX5/cPLcI6IO9RQGAaZEzI3+eFWUUNZ
Gghr085h9jI353F8/vCx/ORcwLbGzfbHsrpcgVVVXTweFnl6uvnDjd/RFqImGbszpdkCPnifSu2c
+igU6vadoRdA5JrSRUP2IEv5TkFGWFex15kcJAzJKDYFvbzcrLdSI+7iLlxrTflZokWExPvY6UzH
gVINqzlML3Iv68lR7dsKtljW0OUaSUAI6EY7eogeZK0W00zAndB3I2Oadw7XJ5WppIHnK2ILg9b5
GfcEcWnICDytUaxVLQLpKU5B2dmJ9qkLEdW3shk4WhJWB3lhIQWydTFLU/JSq36yaXt5rGLQUjUN
uMA4yCtVKdq1DFNwRSf4wEztJVGUI5JP17aziWYgQIA0L7Z53s5u7Vd3vp5u1DlCsAjGY6YfJokB
6K42vmeJdGlH6BINFdya8HWXGunWjIGs0xRTK1QSQtrmZbdvYfU5ejddjwk69ZmM24BOFZG5+8o0
X325H4DAxhhLJLdLote28cG1muSM6tY2DeKLNPPj+eAiuX9ukmBvk1aTVfpRyykGaqU/pfgODUaX
dVltMVrCzNPshzia2y35vle1zzitmcm2ioi6qJQWBlK815bTWorPTZlVcs5n7TZScxanZgy9zop2
E2Q0Ospg0PzY2IgqalYFSU6dZiMcqh2+CyRBeUvTIMj34Huo4fpHrVCJdtHPRgNpoZ0vSaTdhJkP
bsXPNqbWn8Kh3hXTsAsQ59CxCLBDDlv8IUcsLres+rRg4/QRAcOD7Jvobbt1URt7a9bX0li/gGSh
7ddSlarNc8GbVyb6JNI0f05S05vM0Kl93VWT8Qh21Vp1FbYGbcp5UXToNHlpwBnmC0/BOo7i58Bf
vIpMoNdS13HbVO9TEW+tJfZKLV+6WjxLEtWoSSM48WOXcbgj9PRtTvzrJANdzDz0iOs7IRkJLr8m
mXfhbDsV+ShOEAUxTsLszZaxKEpEOnsWcMGTtcAYo8iYkczQNteN29jWnrqyQaWu0L9Ny+XpiYdb
IVNSdCRRKBVCWh3OMq05/Wa06KJ0E1wzAL8JfiO18eyUobDCgMIbGuMckOBII854EAZ1mF351ltt
I5simoJxc18aKLezumeOnU0SZn209dF5rCPjWCGEdW0+CnCFZeDU0tKPwmLsAp2tV2knCa+dUTXl
rZ/cFKjuIPZ34v+zdx7LcWNbl36Vjp5DAW8GPQES6ZhMejtBUJQE7z2e/v8O1aoiKRUZFd3Diju7
KhLJBHDO2Xuv9a2TyjSEs0J1O7omXTedVXrV7oqerhkeKcROat1usW4nfhj3BxM4htumFQ6CxdiA
FnH8ZVIVFxlz5ZddXWILjrMzK5PhwBCRdrEM/MVBUD0by3zbBNqTlZITqymnSaTknqNI0mrOpEOQ
qlB5MlK7UtOYvA7JwRUiAYlXlViuuz4tLscBtyz+bQwEyHvpSJGcstIspV+VVXFi1RYLIpERijVe
FD1MyspCYFzO+xA+YUYMeoIJtVq6A5KGTWREp/SC76hRoS/L+9EBq1tM6aOe0PJpY1I67cA8UTr8
FoEeW18Bu6vestQiJw0pwXWq5Mz46RxqiHc8Dd2Px7giBUsaN6eLnR41tQJg0F4oNROEjB7ClEMr
XkZkaIq1U5Wgp641m10206mTqutcJT4ld/ts1Ta4owj2zMFK9v1+lM3ysRAUyimW0HJH8mruQdZz
ObRFBDKdldANCIJKLVh1STRsCj2fNyz90V1QcwW1z66LnLMxpzZn389Nss+SEImdYaLY0+xdn9JD
0Uvr2qhL1NmU+ricVZCPsx6gKkvrazOYr+3CWO6XoCArqy/btdGHimvROe5mW4IfwUgHo13pZfyg
2wxGf9/Emb0WwY7kFMVjxK4UdURwFNziEQGlnUO9ycsHc6h2tFPXkzX7fVtSjlr7tJ5vZASWAxQd
DnXRTZ+p13ZfO3jUpmFXSkmzKoMM9D/EC5fu3APzSLK7Jr2+72HVrKqSgX4a8aBbcY+6I9DuVUFp
DlRjWtu95MDKkGf/4+35t/IA6r4pGFsOxRX67HflAdQdk4DXpDh2wr8/oQc3x4uxaT+peMTc99Uh
gNrq5Tri+Ctk4L8fAjprydMwKo45NqnWVG9YlWjp5o8sl407zo7oMWbbYarQQ6TbVo1INFNBuhYn
rFQHI8Ds5qQXUdBfmrXsa1Hv9U7nFmHwHf0OxhVeAX3BGCmHHNf+Otf94QDzx08ON8USyiUaG+9q
AyPvS1Kb0+I44gEN52sZylNU/hQO/GNF7fx+YrccXSNDkiIX6rD17j60fQpgN+2HY4XgAxOKvtNK
FgY5AFmZDIPhB9JwL1VZeVHga5sdeTfaoxgmVixUGpF4SQ7DcOkv+khzrgp2pb4kpkWG9auDGPMM
lUBFowyPsRTvp4DJwajy3pg5IpzZMRYhF31KCVBTMsYeC7JArGe4UVHS4JPQnqVGXQukiseqZLoz
lZpX1oxYofKTBlBxtIlM7Gzq91i3nibLcHsRUzlZ2SljMBxQ1ixtZWVMTuWIAn6ZkPCGCqLbyCEj
QInD26BX8ut6NNg/lPBg5Aw5MDZ2W5MoWLqHXi36fHMCB76S1TN6KjgEF1C+ipYdAvmpJ4vYsHas
iw+2xPDNGpXtnOgPmdZEflEVuJ3MhpwEmQxYjh4EoacrxjTlapLybdNhm8qVad/Lw1NKCvPznBkb
mWAxwOfRqVouoNbaek1bHYuXOl3mppkhflZcbFTTSW21px8/c+Ds3r8vjuXwQmJ7MmxZwYH9toIL
NKnEPWnA2VHUJ81p89UC8O1oog+CzBQ9hq1BTAMhnYpJ5lxMFAAr6infCpqgCL+hGrannbS446Ke
GqV9r+lFtG5zo173uGt3uYGLKoQO7BLCxOim1MlNZlNfkaoohjgS5xEWIkauBSnGNGBzFLqMQEp2
g56peyXSf4gPzJfnpjSfHNUwvEEpiULO1RtTnTk7A8DR4FabJN57jSHhlR7N+8Q2d2OgfjOtSaB+
WQacjEC76TpwkoM1NF5dalcm9qcF6kg/q1fGQCxCEl3VsXGZWyjU5+4ehZgOQ7+UfbNm4BGB7mh7
5My20cILw/0KGIidw5SeJJ4Jr3K0B0WT7pVoqBnvLZofWfJ6WCQC6KcS4HGzkeVkRwi3j2gK1+ew
0lM8PrY9nlhI00YSYNjmhUa7u9aAEzn2tGvL+Ukb5edaa54KgG7EWJxC0lulQ3pWgvy2CnM9Qj+L
LAbfMcJ51Ykv0kpKd/QA/LKdfTMLVnnFgaY0Q+oSXsZBci4wtv6ILSlAfC5U+8m662Dwmm20Uom1
UxS0Cy1WcQ3ppA20zIfL4Y3ihJr20UFCypEqI8ZxJMVSfM5oi6xO2scpUEF2cXSCW1vJHoaqXdfk
ljo7nRRMhV0zC0YGR8ycmrxa9VKdMOSRNkSenCzEgVgO1LNRCUevlVl0F6SLiWK7BokoRG5twwIz
7lgfCuESwB0tMYuCgjdn1l4PScoQEgSjFCy3Kla8kU5eVI2nUkuVkJGPqwGq6C0h2Tg3Dd/C8Q1/
Dey5SSanvg2s4a6SJay98qlpYCydAv2AM5dpWBCQv62SHdOCOPOsBIvoOCyrinPDtpwhe6BV2aLb
A2pSCsBnAEk0aJRPtrZP3tT33S81cubEqdL+SASNO7SnJDl605BDaTxLm1OFiuXjteH3LuWblUHo
dl/3kVTyf6guWBnK8rtifRumy8E5FOE9PoGPLyRQEm/3bNYg0QSnqY+VRDfEzviq7za23VAzHJ6O
i0IqD4xyGqKBem20YbmLStqv6TScVFUsu7CjlVO7xmxuJiWa9gR10Mjv9ZhX/MAOc4GilkQTrb8l
r/wMYdVVxvGNqgecuypiv6ZV0YXrvIsfi0S/k6Ksugx7gsyMKOo2YKxPDIZwHCz8WZFHjyPepug0
685RnauKwSqdlH2vdbtYU09IXNoZlXM2puFJw7ZtMWhM1YKXScLmZnsoS+/yqgG8EuzGCpd3Bsoe
KezTIs+Gl43hQz05DZMiuIdqq4WffKtv+y2iyfz2S33X+01NHZ9+YE9He3qMlq+z/Um/97Pf/27j
gFLKGRnf5zG2r6qExBzt5pPH4uOnwnz3/OVmnsopqShHQz2PdSFt9uVo9j6+iPgW/u4Z/fqWQNlx
JGWCYb579CarHQmO5a8gNUftnrsx50xyE0/WJ3fjpf3994Ve2l8QTgyFrRYVPCfTt8/4nMTFGC6V
euQY88ymtrrO1sFK8gc39u7cwr3bMbs7fL2Mveh28p8YBnzljW632u7jP1gVfba/P8jPv/j1hv/u
AOgMsVM5IctIt4Ya5Mn+dNVv8oto7fiOlzVrZcP3vFa8xpXdyHdW1eDrx+L540/x0kp//ylev/Lv
JjtZ0Ga22vC930871cd2v3bOLfes1d1otbkzvIO5yjfOMVpPW0zL22sCWzfTlnXPXTYldKIVrbOV
s5IO/bbYtGcRuAM3XN2Wbn+UvXlj7JxdeTJum5t8ffXxR4dj+PsX+Pqjv/sCJbWNM5ALPJcu1Kd1
+71aV9fKqvYAbqyiVexD4diXm/Png9/vYJFNXrLHZbYn+Mlj8/GhuXwLvNuPP9XvLu+3r7v5bhQH
7n1oLJNPFe1AGXrLFjLMNYk+Kcgx13QDF0Wlm23sY71VH2mk+R9fXzy+v9/Pv9+jd6sNS400t9U8
HeWl9K1xPFmklLxjYjw+vo5YVT66zrtVx47JcBsWVJ6cqd1hfJan7YjLTsM9jr6rWn98tT/f6r/+
qvcdZYk0c8abSX+MLBB0qKrCi/+3C7yr+bTJRrmETPaYGidqQh/QsVYfX+GTG/N+QiPllV1YyBuO
JYEOebqu1PuFILePL/LZ9/RucWuVrE0GK+mOk7grOFec6d9PzsR29vetePeA9eXS9kWbz8dxmCAl
HPMUa1x+/vHf8cnTZb1blcwglGaac+wGEyFsDglRWXeG58SzyJFJRvU4QDP7+JJ/vD8G0QAQVTUh
MueBf3X2QauuBVXc9UeduOVkjf6SJt/m42v88fa8usa7lyYLyTetI306GolO//4izz/pKnx2gXdL
4pLmE1E09XCUWbRpRoMU/eRretkfP3rxxbb26nuKYoY+QcZzTG3g1h4Zr9v0lBLB28Od9sOz/lP/
vsj3/HCtEX/1q0sq9P+UTo3Yo+5pDCNC9E5Dru2OT8ph2Q3u+eJV/INr+CS0u/aF5F52vtjVzx/q
c21P1Q4R2oeatyUxcPMZXuCPG/mrN8J8/+TEzSgjQu2OypnYyCW33WT6rlA8N93oq7vC3cvufPJD
/kpx1tzMJxiNPlm9XsbVH92Ud/d9kFozqp2Zs8RqWEGHXFzVdJ2TbHUJcP6AP3j1oK4hadOxXTeb
akOkyScr9GcfwXq378ETk3RAvt1ROildku0XN/lmrAFtnfTfp23l5wdrQyLKj/BB86ZNehauku8f
v10vhdcH38L7kI8Uz5reFjyaWFTXTNvdWJzqdql3jfR1t0OY6S5HiPJ3+BNW+braWOfkGK56P9qh
mXv8DMHxUpj99nn+ft3fgydsyWE2VLCk1L6+MTcmdvb1sl4O8YniPuO2WMON3FVbmnqHybNufJvT
QeF3m3R9Fa/EIeH/Hg7+G92LU/5fLd7VE4P6n/P541P+/f/87/Ps6fl78/vMXvzUr5m9APwiz8KX
+uJHekd3QIwEtdHktEmfkeXpl1dJRFPgL8PdhGuOkpfN8NfMHvCDAuOQSbsqqMD02f/FzB4exJs1
kLJF1CwsrYLvKyJM3hVhwzwOeqdbI8PgAaFjByxwmC8tEXVJYNFZrtTJM4ntBcFc2rXWaYk3aFJw
hRr0hxTJaxxVuruIGM3QroEKEKyZW0ioqUy/NiGhm1PG+A3l76XuZOFGdsqA1kpwaouwzqiyvvZa
fGUOy10k4jxVEeypVro3QQvbpla110T4Zy5iQDXyQJdMveJaJAEovGBjTy+rJzw0sfGUBKCwu9S5
QciGAyENvyWtfaoj0JT16SwK221pkeg0oDNXI1le65wziQMazicV9T56JwISRKhpLhIcQhHJWXta
3Sc7PIBkSFbKVhFxqE6H3TUVEak9RFdfS4ONKeJTS40g1aDSrxlXugOQ8l7TfOYNkHxF6Gqczzsi
OHSvE4GsKNFuDedbXgbMvwnbJLQVdsQ9YLvYqxIwWrqG2KCfA8woA/1tY5q/DzLhDIq1tjQSgBw5
ug0Vpgh4g7FGoBdG40oXdtkmqnU2xtbREmGyZXNbEi6LV+sEMitiaObsmuXVhNBCOrtQRSptaJiX
Nt9QEEO9k8pmPWbZsdGdS5NA23RagBbKjuIaIu3WIfY2V/WHBDWgWlkYbodCXwPDbF2HsFyFoCUp
Q3RuLvJtTAabOxKsuxCwWxG0i52GqAjIZi0RvKQtP05E8lYafgsiejuIF7Ip3YObeM7QG7kGbVCv
qUIYFcIRwFjthzXPV7LI/oUPf8ptOow0/GvaqoH+AycDeWD8OSPJwZVFhDAjZUIQSOlLyGaWSRle
EmYJTVE+aoX5AE1i9op5etL7kedLwclDJiB+g648KEP2LeCJdBqNyDsIcQoJx705b0uz+zZIEDDU
SBO9q00Yx7SogvqcVlKHpXeYVpZDyiGlUrKSRJzyrNkIwJz0Nun4kpYCyLMREbWh5+plRwCtU+Xb
WRYJza0IawZ4Hx7VnvTq9gEQnMY790Ari+EM+OkoRCi/dPpNKTKg57FxdgG8Nbe02mkDwRiYcD/q
Xl8rnElEknRMpDSmus7BY1B3YJyjIJn9Lk/r5WYwSuFsHiabQUQYpPoVAX24wlBv38Z6IkJq+yvs
/gwBZh0buw50cMQpZyfJyiqczVyN7UoihmnVjU22R/9s+fkQCHuC9lAORuIvC69bFvFIF2OH/Xlq
6P8bmifF+Sq0nenKribTLXHrTNHyTaWtGtehvQL+tpYJmOkRKTBcpw9dgCVdpZDwiPg7TrrOzCD2
Ftm+i41iTXxdgD4CP1NH0w7uZ4NXIZvK8yzu19Ugdd4itfjEsONJQ7fXowI4WzrhDDav+HYV2IjQ
N5PmfKr7GydFMMR8wwuD8Wtr6rdlqd3nsgUkO6D6zzS8HjVqGbxTt0aERKBc8sjDInIcyet1i1Ej
IjrKDvK4bPh/VRB/gmTaGQ9I3CvEEJLfaOmPealvqsS6rer4NGv0rw14HU/OrTOzc/ZmX8oM2SPN
1WoUP3MXSgS+K19J1r1khnng5tUQbcAtd6l1kw+ob5ZM6/Ba25GPQH4F0EkHSONwTkrJXux4mWZe
PWsRlFF114aY6+Oou4Q4uetVZS8r1knQd4fUIFwRCj0+UJH+DunAcbWYgI/eAt+tIxkh4Kz7LhHZ
QCh0zTyhd0ggr+RjETi0ubJ+3qrYK5YweJLm/BCly400ayqBjPOzRP/3aoaU7jUjfriWROB8dsTg
rH4e0f9iy5Irr8yLG/IlT6Kqeo4BowFxkfPrqUCwVag3ltoT61dxNzIrWM99Kq/swGbZGHdWXgXA
UHts8+wOVffsqIw02zzjWcPJhOQpQ3zV7BtZAUUoZ2Hh6yKJqX3ByagvaJmXg8B/JyIh6/vnExFi
xv/lwof9I/OKn3x1KkKBbWhoBR1s4ULC+peSUQFmzfEG5BTicBFg8NepCAe3zSlFRsgC1sqi0v51
KDLJM0HjYGH7x/yvGP8KWE3b9v2hiDGjCEBBS8lriuzwbWFI5oZhDKktAVzP4USz88YB3JvMxGwh
HKmpNaMhxKOaYFaFdEXwpPCvjhhZR+FozbC2LsLjWgm3K171krBXHLC18MLGmGJHzLElJtlKrk/n
Xtstwj1bCR8tM3Y3wFgbYrDNhdM27CDevwy+MOGamHFRlrdAreULR/h0UeqwrSUN4FTrx6STaZWM
1VWuJjeWIlbQlOWil6zFz536Xu8B68ZKtUL9N66TsMKlWErrok57l6zizZiSzokNDJFTn++jxRoh
7gdlKJQ7TENJ732sskGaL5KRae86m5QxxwkniO8kQMgVKD6BhndgxJcCFl8JbPwgAPJgOzh40MYb
BFw+FZR5gZt3iszLBYC+l5NvHUT6QAZND8HQcLXumA03KhmlbEEg7EenZ5mAam8JvL0C5z4RwHsm
LKqP02rw2nI4MYO23ddy8RWTNyqZIouY7XKUAPtl5rp6Uachw+7IAgoxp9cywrbU6me3nVhMQILd
F3pJuKhVnlVkuh8gjM2eZDl+YTlnWohSJyuPrdJucjzHmWPtJyO4txyZjS7V5l1pJuu+0OWdwuaF
o5HRrNYRMhqYWHnkjLRmPs+dHZKnOnDa8iu+PtdWyEDFY56fIbW+5iw3rPOKlFFIBif6i8mxE35H
QhZwoTHlxAapjDZp8vOF3AKWkU2Grgjd4C1V8lXI8TYQfsoFInmNwVLCAgpm7MJIrB2MgU06gA8R
jswBa2Zn52cE727USZ3hmxHpC2K2HXGuJwaRN3lyh+ru2iqjzTjat7mwfzr4QCf8oOggDg3+UPiE
94RKb0kObhiAYSE1hZl0QRs2DSP2UmE0Rdx0MIX1lFtOhGyffE/YPIeGzybNoUEyA5ZVE+/qtFjI
VY1HSDY+gafs7H12yoZyidygwqGMAVaTkHr249dCav28vW56BrZO7VyEOGerFud7tezhFtzKTjKu
Ejy2LV7beE6YjuO+Bbf8mAs7rmSZwABmsF04dSNh2VWEebfGxesESunLME8XczmOMvwxzhoqvt+y
lci2nVaqbXyFqwvnQDiEw+hsxDFcN6hAcRBnNVZiWZ3XtTAXx/iIA9zGSV4AZsF+DIz16yAMydoY
HBxhUdbwKmcZ/xne5VGYmMcm39m4moeuOOG/XPAeYni2hPU5fXFB49OaOWMLb3SEKUhF5BM+JDin
CyOhLBJeaqndYhR/AAm+Hp3BBz6wSTT7scODnfe65DHUXmlK73W4tJuwup+FbVsVmLtRh+KJo9tW
aqahwuTdNNp9jOt7hKCfCRt4aesXGr5wSBsXqjCKz8twagjr+ISHPCgaewegeot4ZBPb6V2ipodQ
bm+sopLdDKhRhx9drbLTCH96KveEeOvkc3Mvchzses6rJjdg9lWAg3m/C2dqPXSe20yFNIoLnodk
XwpbfIQ/vg0QYAjDfN8P97larxZhpR/w1Jd468HAnEDE5ww2Sjugx1sZF37X1LscV/44cKZd0gPK
uE2XLRedsO9beY2OuzmZKh5ZG8hb3mY3AY7/dMSkVBu7DhJAqxM6DRlA0aLbAVKAATGA4XfmGmaw
HgysgjAFUmTUioAMLNAGCNA9EAayLwSGoIVHEJXpCSToxwlOAYUxUS8zCNiylr0EloE+xOsCtgGA
jZMY1sF/ZxMOEeAp1U/OJvRvvKZffu/YiJ/862yifDFsWizkfmKnIPHs1dkEPprCVszFwDu/yU2z
vqi2+TJ8NUCgMwR+fTiBDWsQfaFY8s9mzr/o2KB3en84wZADcsA0Mf9Y4qO8PZw4wMfN0LYxjU8x
GY/CV96oEBqzqbiLG41iWbjPW4avXpZyWoYbsKsNhcgjmWKRgLI9zl7NzSN0mp3cb8My9GkRoTxv
SjbzAqkQPmM/sZKvY9CwpQt//FDwLmTCM28J97xUzc45PogbQ7jr61GbYZZBCkgJvgk7qpn4DnP4
dZ7HxZkldrhS7HW92PXkSSFPnI0w0EMUgY5zYacUf1OvfucIQjSBKo3XRe1sTXbApJrmtTwVvtRO
l7UCg7Sssl0m1cehwCer1xtDbmlJGdMhtwQwi72nmcvT1rDoSHXaJsWAST+nfZ6hXII0DAdC3OfG
0+KA8r2+Am+4ppLDwo7vtm2aeDdk1qOigDwjOZ5xEI5ie6GnOqFx7ie8zGWsrCY0UqusEeDP5TII
lXlrSApfTR8PJ1nMrpwb4dGp4r1jU4Nhp/WXTvqWJJlDkYvBISzjzbiMsVcHdMekIUW4DVhApKuv
+8w+10KCmdC8oVCmgGSRvkwqC7bmN9Uuf1j8un5+qZcp2COlfYo4dUDw5NSgWx2bHkWXRnCEiz+N
WHcURHOmA3GZ261dOpczIJ/zOldO6ymZfBk5JIp70THhGd4sqnqto7OEvuKsbMm4wWrm7OshoRuH
yNKsg6PcVijkgnSNwf+kLbvzMShXXSZvMOOvy8mBkGrEd47e6mjKVbKHQIqvnIzE59g6nev5Xi3z
tV4Mj/o44/LXhsuhpX+oLON3rjz5k5Z9H6xaOQO9qrm1MuN9obAP0ujU6aXgMGjNV2hHSAoaRd0R
TWs+RlJu+bVFNII/Fy19yAXhNo2BJhmqYzhI1r4Ky/ZiaksVQeccdpS2VS2xXtvf7MoegWxr2Myt
dVNN206jujSILdCC5sHR2dYwYcBcqbgEssCqT7fNyLiwN/iK7TDAuBotN1pVKq6uziPIfesKENtJ
p8zfs6hOV0pqXGYBESPmMvikghzVCCKOgyUbDc8itJffkqVydl1pfZss2nBY+zGNDjhHS6W9wFbA
V9ycBqlsr6xmrPbEpEBtBSJRp7pP9JLOE25zgp9mfmIaSjoR4YywLviRVcE58niS3fNOPiNXsPTM
Xgejt2QntVrI/oI2dRv2ODowdFhBsR8TtV0hznpIqqUnAbbrDpEuYW4aG+O7LAfpdSnrFaYXe5bQ
MkbYlv7bnV52J+3DWYKonE+fuu9/gkW/HieoX2SQmhzzLXCbNCnebE6GqlCuEv6HPF64A3+NE6wv
lkyLH/WTKRPp9zrqyfpC5jveB0OhCjfFpOFfbE5vx8RimGAjMLbxIFoU8Kr8bpiAdrYHyT+PZ3J5
3oS6j8p69WrL5kw2h2XxOuiJv+/1yNbgmzQtJikGf6GYjYhxxquRrTlaqdZbGJ5aPdnH1q0kA9q8
aPWtEpyPA8WZ//H11PdqoN+uKD7RqyuqFDYxHr4eHAG6P/tl8QBqyEJSijVlbEp7P3RGhWqTFac1
12ZCrmcdII2n19pZAKtZoVgI1Z2pcVCda/hdSstWq9nRwSizWziUqVc1Ms3l9IczSffwk85LRdVR
m9JtTkL8LQU6cux/EWUeDkKa1XHIkmRu2jmL1wZ6tHVYxeUmmCdk1rQdXavpNUBMMhwONb6SRhu3
SHxpD8OJY2gleQkkFNUBdymBnhPQpa7HbqXPKOOxbQRQ49xA0rYER50P9CI5++wKmQKcVJYTSKlu
r0k3jURZPRSPw6KdT1a0Hayl9ZWu3RAksdErex/FxkTMdjmCf2naTRDNp+hzlyurk19Q83NbXJWE
vWzNGiQk0J9tDUmtu1gq+En4gZqpPMtC/dBRRZLntxjEN2JszHut5nhtH0wT8a8OT9SKd1M6njZO
gFEhPc6LeQcXmuRhoMWwXrR1o8bPhFt+y6TS8EdDP50qfc/AYDWk1aGDU8qMZDdr8bnM2KcI6lU8
Yaecp0NvE+TdLQQ8hcZ40g7yXd2rvq7TE8mL5cbIMA4E+Zwe4744L9JuA7nnmC7pXiYdk6gHQp9S
gKjwX+3CbQeAxjo26jaxbsBDUTFLcrhW86rf9f3YbbKAzCc7rudDNpfYFmz1JMu/OdJ4pkf2Zdtz
rlOiDKZdhIwPok6Qxed9IV2NA51wih3SdDLfjh3KmO6bFVF8KGZCYPToO33e04NXoHWZK3A1F11f
oj5kJzdHfTM2w1rWg1VnMr5T5FVZlldLoZ/nQV1zDqKs7rJ0uJzm6NIMlB2TtxXb5r2eFt5kGQ2E
IIleWNz8KGgd5XB3NOjoy8L8Cm4FbKHhuwxYtoClVesE0bOCwV8TwYta7JvS6CpBeE7G4alOzkdt
5JtJNvwMIXc/BSdtW24bg6pp6QApSEfIHiuVco6F4mKmmUK3SG5dTQ/W8M5v9aYVSdi5VwuEbmFk
85ZsnWzXZNDAY8RL2izt03a5bqsRsnzWHeOmvEoGeZUkgPJ6MOheb6tPTp88QZk7LeHouiB0Uo/y
d8bKMkIODwZ7+9+m93PTY4v4rF3cFE/Nt7j4087HT/8qyxT9i6KJxq9jGz9bvH+1jMk/tGWWIF3G
HP/TF/9r5zP4F/rCKHLhtb6Ns9a+kLmALYamMX1otsZ/s/NhvH6zMxkyIBlqMZNpOkEJqvZ+73PI
wqscOgJHKbVVTm95h2l21nbmMNePQ6NR33d114BXmyXL8sJ0weMQjHWb3MDbTHxnMQdmKY2qrwgV
CwkiMy15uIC3hkGkx/EvgtbIiO5VYuSGRGXFxvSjTStShwI8vpZSLzCwsI23m66SsujK7rqRdhC8
Y7eQLNl0l3BJrnMqghsg/4lKeSjPV5FiY/JVkyRaV+QFLmWXtVsSRxneGb11WyiDBGww6YbbKsev
4mpGtcyeXrAnelJbF5CAKiqWdKiYqtbJg2RUrNOO0uGoGrIAJL8S2i6Dw/h0aWu79/JgyUPPjs3A
c0p1V4Ry7uVa0gPhsfKjZRbDZU5Mtd/gzNShERbDlmO/gWmmth9VYl0Xz+mccqGB2JuYMewYa06C
mOuSeSRpWEuXx9uMMLDnXJU0yIc6+4w3y/Ql1TUlQgKQXtd6WJL2oHUbg4QEiSPvJA0PcPkUxU8H
/B16ovRR4SdOhLDAp22zDJU7j9qyOFsnpH/gz1UTbiwSLC7aZiBO3CnaC4cw83WSkcruZq0eXefC
5KOx1pwziO+t80IKB9kPW7nMGTKK7PLoJcfcFpHmadaq19RPWU+3WgQyjoUcZ1v5JatRskVuY01D
fdrnVqyP383RDr87Iv4R1mIASzEiFzIWEZGtRFhkLoHSSe24vY80pWrOxF5I17D777j+E7xhfLhy
3aID6v/E6xA/9teSZZPTDSgHHDFARYbhfx/WQXmwy3HoNljPfp7jfy1Z+hcmBuhxgHxA53jpP/0a
c2lwj3UVhrEmzuzin/7FYf23PhI0DdHXoTAAtMVc5e3BdpJ5Fpum6I+E1Xt1g4sPYUJs5z8fkH80
pFJOvFsZmZ/R/dJ1sMiolmT9XcNKoW1Um4leHeXecG6gXUgmwTHEeG5pshHgqb2EebZtsFzRK2bZ
ANt1R2xs+FCVib1vRBKowojXrX7GgxIUqr1Ehpov8aHDS5ToMNXEio5BPQxUvvjlBpqoxK1K2dnI
oAi8Z1WVql+OGVBSOAQsinEbFPdxOpOHYS+NvGqLZyPTR7QzFXDyXq7wsFZphnksmDQvI8laygQJ
xIrHUjuTB0EIGbLkrBHQEJg8kxc555oifzfAihR1uA7AjFhDvUUYsDEEf4RxNjqEKvYdjitO7htT
vgvmuQb6QLZ1C8Ekm+sfkR1dcgQ+KhBOem24IrQmxwTVJA8WsP2V8HacSlbVHOvWMPdZ7JxWDlHj
y6IiVpUk7YeetDQsgojtpKtRSA7sD3EmwUxhcqR1zrEtQLQvKjGeaIbUTVdYN7Mi3WOlQjGQRDTR
ui5ULU75rCYhQA9fteXYB0rEr+ggh6Zmc9PoHbuPaRfRJaICye8tpfGdSZ7u9QybgoV0hgCztG9W
utTMq4RWWW12VAUS3NRXp4Y/VIUqL9mrspBy0OHXoUGCZsfLwWP99lmGBE22K5XakaHQ09i4yhVV
hkuDxCPXfBsg1F2FPgwPv/GR8+71tear28BLP3nWX7KQ3igzmSVTAzPapm7UwY29/Rz4msc+bKPy
GKjhnvTfyUsBMOBP1XGgW6lD7kQgqhGzIVTclk9Dqwn2CvcImHDuzRbC9IDoFVtdHgFdOutWRXPW
ddU6sJdHy2DUC4oaccYy3dVZRTRpUxOg0ibaasIMS3EAvwVlij9rQHaVwksCZlq6HdAEdrYL8RGz
qm5wpyuoUhqxW+gkOxRbxnGrUqMDWpIyP47hQaXb5qYFrU4Io26eJ+2Kl/g4To62qUOMnNjZbsKx
3CpaftpPtuyyP21k8mWxeNY4qOXk6uNb/HYR+elqggWInNDhIKc57xYRZ1FHxFJBc5SHPNmwECDK
aeQCOVHko2UCN1N/5tf/swD71TXf3U1pGqxmSMP2WIfagxE0HpPPcrW01lbPe0qDQIbIwtzfokoy
srYjCr6YAUoi2aN1eihj+16OAULQ3/yBxGpNTAkWcPNCDpZnI6wf8xGLdM1p72cw3X/iE4078HE1
scYk/Ry3z38qJvjhXzuzqjKuUUAb0rIy2Zpft9E00RFDs8GQhYJBbNq/dmbrCzZQSFnO3z/1a2cm
gZ0EHOGw///TRrMIvzD4n4jVEZrh1y0ng8xJOwma5Wzp7mpe3v7Xqe0fN2XxG16tU2Jx4nfwaOv0
nbiEWE9fNbXIZDKrqdKUs5bgkkZek3Pitsa3YfhZ1/7jdd6uy4y93l3n3VtbSqT9NoC1zww6DUpz
GK1vr+7wn1b+t6eY36/wTqoT/g9757kbR5Zu2VeZF4hCeANcDHAzMjPSMukp6k+AlMgT3vunv+tI
pW5KXV01jbkDzAW6fpUg0aQ75zN7r63VhQ6pQrvok7MazAfHey8BIHrKxeuHDcFFfjs8V/2uj6+7
Mlxp8RuNjhDXennTFXcCsUNXH21LbFw4T8K86ZO7kX3F5OV/8VRo+l8857yxPj7nRqyEaCXlc2Fs
aIFWdfXUEyYMnOMyIt4MwxSN9bujEGrN/7p27P/5UyX15P/woiP1ljNgijBmvj//AsSHat2gOvOF
DRD2ec1rslMKxRCi1reBm5cQCrdPXEquqV1Z/XirIQWkCymFP6jK4jdWjUqggm2x7YTEBlEiB1n+
Sc+NwxiqLXNCJdEeJoMT2kg9GFahC1mFuKUGEk+F0EYf6q3WzahP5iBaLoNNfJJAR8kupreXAPDu
da5fw5TdhvDHmR+J9r4VsmjJiGq11wOES52AJwJgfAeWxpxU5InflzIAyjbQKdUNT6JGdlF/clSq
JuAB9aeWW3FW2CWNBVAj8yZJzgm5MwNAy4eci6QyQDmU3n1nytkYd+zAVM+KhQmKtHbXqpubmzLN
njuFENF8IdIeisw6ZTL556/QL0aTb/Pzjx/8XyvlMfbapJva5aIGxi7cL6fuyQggpl/ARpy6HfiL
jbv2fOhzuKIOOW6T6VnZp9suUAP7HG+Tv6CH/HLp/sPHl5XCx7esmWW9k8u3bJnuobABcWvwR21r
9S/qpj96Z348jn458Nw4X7II9cxFKVbZ/fS1Fn7c++ypmBH8+VP8C0Pw+3nx8UPwS6Xo8YlpDC/W
LxETy2vo/T2aVGQvLa2+Ly7jXz20PzoBiVVlNkRZyObllxMQkzsrPeKP6UKozpfXQfkLS+MfHYAf
f8Avzx0aNSYkQtcvBHz3oFxGxUfO9hcv0F/9kF9OWW/y7GVGmnnxhuNSHzr7Xrc///kr80dX0sfH
8cvxOHNXNw00mQuKCFwjI8q2Wy+58vB9f/tB/93V0TkGONOW791/yO/8pazmJhZR979//mP7/c/i
rZTuoJ/+sPlG8rzp35r59q0F6fKjV5f/8v/0L3/3G93PFX6jl6/oJdCHdk38peN6YQbxMyuUN/Of
lkdS/5L9MWaUL/1bcaT9prNkZC4qPWbSYfS3Sausm3Azwf+1GE/osm76e3HEbNaWNZDpSGMSb5Ef
xZH9G8hgQ0dNw1Ce1/hfCqRFMfPTPcYp6UpJrYoE2EJrY8pf4uOp5GhCy7LGKi+6CwkO54Dua+M8
o5ODlahPQgMMlG4zFJlFXjAn9YroOUetmaOqchF7lag4HUZviaVcFiXcqBDj4PA75SmT0k/2GI8z
WlDXq1CYtzJlVek2A3rR77EFHQSobzLSMnFuJmGgiiSGr1KhdpIGtHatUd1ok3q1sNFAYGYOQRRG
mZ9abIAKtSNgRQMbmNA3aAIoPblQS1gi+FStctfbY75WSH2bZgmpmoGro1OHtzN1xH0P6sOgdWsH
F8eoQ6XpPBOijxqTndRYXwgrivwq5/vWHl1jPxDYSkoLlUWRfPFIyt3MYQnLEuEP4ONoz4In3GcV
axg1nzZloaiBCvrpaFnKeCJWyZMeAGgnTfIQ13nK8ANBCvvCC1mzvpXMuKIW1HR2f9/ENTC9tH6w
HXGpkOkAWCEWZ8LKYdRhj5656NeFAvhoNNXa92RybVr356pKKj+dy2wLJzGoGusAY/oxTwY++LIi
GrmLF/BbjlGDBUvjr4NmnEWxXC16Pvig8o1VnzSfsg4FbV/2qzSuTn3kJjDx0J0wJvGVZer8MqWe
asvEWFUdnXKm2/uks2/ScAYkNDIJ0Rexqc3c3Y5K+aXW8XvpanulG+PGrJUA2dQJIdOFHfDRMECF
YgY91gPvmbBvr+vY7lYomDRfHeZ+Y0qiaiH8NumDujbOjhVxPXul4qOhKXepBtipUoImUbh7yva8
pARPWE3csHWyb3VbP3ug2TbNjAnezE1oT2TErIxyiVeZ2XFJpSrY6jHctFRGkwfte0iKszDDz3M9
zNtMcQPRGvba6tRHs64/J0YNFQ2Y+lx3NngvcSNG7aRNUMDExADJ+9rYI3pwWlSEOvZe1LG2Wmzr
1PXtJYa4pdyUpZMtb/NEFqOTS3ht9ZiGovaZiB/beDHPBci5Q9J5z2WKuNNqkNTMfkMwQbWILctv
dLnjweuUbaPqx5Is87gsD1PSXhVldj0UgDrR1RC4G/akYYbW+2IrPWvv0TCDuIfatEIstNzp9nIW
NWtkLYvHrZCr5dGw+blmUGVI1+XyGYbqbmQb3VjPrVxO5733ULAWhfh4bHRmLnln7Uf22aJarvuF
EdAQj+R+9DccdhgKiSrSLSZ0MRSAkO24QVgU26gS4W13LNmfI/GTgdZ3C442kmVYsUdy2a43HR+U
3CkCT2jMd+RS3mA7DwFP7Gq5sNfl6r6US3yl551DVhpLGbniz9n1u+z8HbN4L9EA5FIMYKIKWArg
dcREEnuBYMCS0gFVqp5QhL26UgflIYgic4JjQlWvc6mV6qVqakQ+ZUgdlYqgqpfKqtyebg2ptTIQ
XQGp3dam+mlGjIVxcAsQDjil1Gm5JootJhxPhdRwkW+9rdw5GBB3qVVz7SH2UhG4L3JnbCEDS6Qe
LLbTXSkVYg5SMbcP1/xkmKKeea9JNVkkdWWLVJhVUmtWK/p5kuozBxmahRxtkrq0QirUHBIndKlZ
i6V6zULGxmON8TiR/eYRSRfVaN06qXoDq79hz/MuvC8xorgWcVwqVXI6H0FiNTJW1e41meBbVSrq
Qqmtq6TKbpB6u3FIgkgq8GKpxZsR5cV8O1eq9CxLHDJkexEzaNYvKPlMqenjBUXdB6lvKtBD5xWD
RKkAJM1qR/gGmkC3EfuJoLVQYdtiHCPPtVlVOZ9R58d7juOVkPJCYU5bJarvdHSHlFINaZx2v5mk
KNFDnQiDNGabZgSNFC4OzIkYxje8a6q7Hm2jKUWOilEHPapHK62uRimDrNBDim66VedyA+Nz3rKd
PJYoJxVI3NB85347oqpMvX5atY5zk0cOtjzpQ/h/UlAFb6W0Tbc/F1D/X9dT1KB/Uk91L0XcZi99
+weVGF/5t3JK/U1OkvB46z9W0B+8TqaUEZu/r7Sp6X6UU+5vKptpnYBLR/8WS/n3cgrJllxYS8on
4Rm6/S8trg0pQ/swFvheTlHTsWthu8685pfCW3EVI22mrLz0M6FZZzbLVnKlmWqib7ouz66duB46
P8+sK6uqr7lfv5giIkdKz+8HjRoDl9Kp1ptnJCuHrC1uY1YZnaKXABTxeVvWuZrK1C+cMRAGKUhN
m54idXxakuLNizE7l4Pe4pu0yxsyELdajuQporXvoU/i4kWxkXXJuUN7NaG/Jk1+KLRX5gwr/CUi
28I8d7W96hhNfNBTuxNBqimoKtXBsznvKyOBjaSoBgR4ULtO7ORB7WCzJFfLvDfCjkMmzMekh6Au
IvPUJHH7nIxhse6hPujboR+Sxe/65Oi0hY0XzLPaccP4mej51m2QxRbOsGzqRqj1JmeeJ7idp9fe
ziNCu4onp7JwWURj4A4YuqrYfqlCbN/OWE83iZuNWxkcGIdURXrbcVIRpFUvzJUjj4lEiP9JDR+V
Ztl3jnI7OLlfDCNGhmKNs/U0jRb9GHFrbmX7Tabfzm38Uinlka5dWZVdfwaGWKwchWCYyAE97mm3
Q6/sbQ2rSFhfuaJ6142GTfG4w1NyGO18J8L6JDzguvp01ZfEUc7trRdlO2LdHlJvWEeWwzpFXGzs
TStWEHdZtRArF6+zSg1Gq71tOhcS8bhPbPMpd4i79NwXz22BLo+97+YEGiXee4HDxszsK4NoqrF0
EYstvkY1FMbttZd2zzhi1w45YZWi4b2KrpaSBBqKRuTWVwViv3bSn5axPA9kOJlYa3gtMc6PWy+K
rpIQj5bh4Tu3iCLuDomVBMiwPutWsnXj7lwZ3asoAXrLl1443r3ZaPjztcC1J7zfTPF7T73q9YiS
KblqyD7EFOR3i/JgRcY+S+QrDO21SvN9C7oSYNXKC+s3z2z9ocienCR6KNUIk4uyDSvrZJguqc75
lZoMuPln7TSa0+vAL+F7hUZ6snbCa37AO+A3UXcSjrZV4uk4TtG+bJHcu3Pz1jg6ZMbptplxz4di
sG7QXAWxPUZXdmieZ0snCiQDPJqnGQM6AptZ+AMhQJM/1ReVYm7UeEv1nrnPZJ1HSmpFTeZ9nSkB
VUpBMzdODqXhJGvEifS3IcuctUH52CUzbz/qyaoKg0lWmIoRfl6a7DzK2tPN+/uUYtRQDGeVyvoU
wm2ME17WrLJ6VSJCFbBhFxs90s6had6astZFtNetEln/Dol3nVAQtyZmSVkhV1GqcBMSZVVP2rmj
jKbY9C3KanVse2LQuOZjHdipJ4tvJIV+QTmuy7o8mlvkcth0QpIbKNw1Cvjcrq8qWdGPdf6lkjW+
vijox6j6E1n/xzQCVubu8Ukb60b2CIXsFliwdb5CLl4pOwk9sqhHaS6Au9Nl0G7kevmpk/3HLDsR
JV+uelqTiRbFlr2K4lJaVrC+pxhyRUFDY9PYADk4KBbgVKXPttlcVNgkxjM9+MzgmhMglx2SJ3sl
XXZNYwwXN+nnUyk7KtuILykt1mD3th9F072wLd7vZFcUtGODmxJhzlODJ4M4BFo2T/ZunuziTNnP
LbKziyw7/ffd/13+IZEr//zuP7207Vvxj/e+/Kof9z4SD2lgRgFi6Kb+k/pD135jHsIg5Pct09/v
fVP7TWOwYau4mTTruzP6xxjFQ8Xt2HxHh79EZf0vjVGkJ/qXex/1CWAauQhAhYkM5ecxytAjNa5K
e7ygamqdTTSECeZMx5vXYmapmunhsVtSQkjmZBjSR63XYF7jmo67fbWAap0GG/dcO3sjGYqT3i0b
yPYFGqSxMGzry4RWOycSogmXTSfw91EIN7vJ1oT37qm51t3Nbds22y52UJ6GM8IqLpFyBK4dKaHC
nWoLfeHWSkfq+IU1CVqvXkzaJtdFs2yYQuUwQ12jWgM21oJeTV03IIPWtB4yTYlsUCnNPtY1zMgF
0Ru7Shnm3WTMffI+Gu60FYkLXFaIBKUeSeMANtJJHJTQzV7jkK7Vo1NWVnM1Dxsla2zSN2PIKxGL
cTWn/BiYubwOEhS9LLkRdOrMYt6qhRlYc/Rujwq9XeG+J0UGsSJHweFU/F2loLdWBvYmk1OOx0hU
7dHVCA0Uca5jsAKmnDVK8UpxSLYJISvNOtcHkNeqwglu0dNqc6zu3Mbk7ArH4kVzs2VlL6U4VI2S
XaMujlb4sr3ArYq31CGmwsgMvMbRYAaYdcjppI5ZpYJWwLT67BoDJjGJXA2YL0mvqOtx4yKSBudj
vEXEdu+sBiUawyQcY/itNk0Jk0W1ldeKc3lnLxnZoR5XeNQ0784ITrfS4wj9cTK06xHpDo9Jd4Ky
zNuDZ6nJWleihMaT/Zco7fKQQtuO+0Rd6w4gIcsZ5xvCLa1g9MocFncEgnPMiSltTBe2C7q8Ymn4
NV3jU1ak+krUCdO3xlQZFmGcYVJB+Gw1YHkvjUSCW+obMdfaahJjd+PEDaAuYhM1f5nnFPK2zuRJ
9YhTHJD1tOZUbSbN6QFH4CEKpyLdaVkTYdJKfl8G/nfPoP/ntUwqw9p/fmz+J9Gxxds/Hpvyqz4c
mxZLR845DCvsZ40P02dYWmjW+I+h78/TZ/c3JswG0+e/OzN/HJvub8CbpMwXLaRnIpT9V0RzyON+
PTZZczgszW0XCpeu2ZzdH6fPonHGBC91dlG0+lnESGyXPnvVZmufaXmxSnCRk2GygRxBD+JsF0Oc
vBnpjAuuKRxzvMdMU0lyVfzG6fWtsNQtY9e7EcPzxnXK3h/EfFK7cG0rZbWKte4xdvXKz7QMf3md
+YPS7LK0fWGqI1bogr/i72j9SkFTK6zpOLnD17TXat9F3LtWoVDZ80COzFwsG7VXsjU7Fmlh7zsf
vxxLtlm1/Y4ZzrYo52sd8AV8+OzYTzji8Lp8MuTkuS3mr6VqHwjShBgxUd2JocXliG/ZirCJwUe4
XjztaQgZhicuZKEoQtafOYiAEzsB1yM4hfNcQKMP94botrPDMr6WgTL6OD0ukTh3TnGswuoY8ZgA
HjHUznX9dozT9SA4PdNCP4eafh+i2d8Cm8lXaCfwJbQD6a2p4q7grO1yY459zCxPyAoVJuOz6Kkd
8a+Ku05Pqs9qPT7OizkeO7e9UIMDVNSIrUjq5vMkhn1cpEFesfI2e6tcYU+ENmwgqyIF7xwJ/dGo
WXH38XghVcPepCm2Od1idrx4NAGi8cAQlv2toURfrSwsoWkIHxREeiTXoJteKqymZmW/tLNRBuQz
BVlPoHhTjXn56GlRcQeYtErfYrF8pfy/XQy12zh9VVJZN5HrvjRachXy/t6rXaHupk5nAdKE3sXM
w/Ywe6FvemD3R8fedc1MflOkgprG33plJAutTlzmY5BZztPIGpd85uhsTOVbvQz6Ti2FTE2Bs7Ss
/j0a+u5r4Fj45+ecNPOd+rj9X5fXuK3+SIvEl3848MDgWBrWOdX10Ml+OPCoE5nJGMj2+aR+Owt/
zIes36R82HX5C9ZhlsdX/TjwTNZt0h2oajTXlJ//Up348/5aToc8JCOuZ+p8P2ASv+zLG92w2Cew
1yHvGFP5Mabw+PDU/IGEBwDfT0eq1Pa5hss3wliPJutbpfzxSM21UmXrAVtapM6+iHpvO5EH3Wyd
fDpPBoUkyLG5DRZ0K9iFKpgyWudadzogMPZttFVnp3E8YruYXpz7RnHppXrDrs+2ragTCSI9ESJq
pUHBaVnOldWoEk8V5fmGQGM1mHBVBNQ1+mZEehw0EWUOOl80LHalrorBvk6cQgR0/Oq6LwWttyIy
gplpF5WgyAmVvSuaJXrPMUlsje+RyG6rKmSbfYtK9jL+tNHoPrVNZOaqcQfrDThIVU/1TTfxW8Q1
+E4S0ogRiT4ZlXaMpgg8Oz73Veqle2OoA6g/p7G3tZXTKVd9NDxaqXFfe+1dg+9eFMOjbXH7uHbN
siI2T3WDM9isT1GU7DUh0r3WEJ0mJvs4EuTjqjkhCqIM1BificqubSEqDHLIc5Uk7EIzObgp6wvB
asmOteKpn6DM2ukMmguAoBkyYHMz7S3KyowIIW8zw75ZdcgqGHQbKFanyQoKI1yO9Vwdh1AJpjzd
dexVAuaIzTo2Fl8s1aYe4zNxIuihDLMmYKQKlqXZh018K6+6ICmsYi1IOmkWbgsBtrBop2bTRKSj
Nd0xYs4EEUi1v8xD2vpzQ6yIqtvbqeKtCmUAmx73j+IWrLfC/VTV55HIhJWWRDytnevDeBiSlUis
O8vkqCc/q9+1BV07QDN9nYdm56tzd67tQfHBMe2HdJpZHqtvpt1/1cAgBPB48qPh0bivotSKb6rC
zdfaZMYWpjd4Ho6mHLw00YLWVb+kCjtXW7kiAe2B6VCQRaEt5ztg1VgjGCCHc/dmKIqtl+jrpGHF
R0R3bo/pbsz0wEV3va4NnnircHatOjxpSweenpgjmIOfMQ+dSxWsQ9xMBwSE1wvfdNDAvbg0KCbt
UaW86K32pijTvjSXkxEqO895nMLPpbscnHxxt1bCdeRYD/WCXnpgStWnq75j82USTm7p8zWiec03
mLJixveeM6E/ywn1umGj6JksPUfzUkc7IkAjn6qA2mCpt06k3JPQ9WCSwTEJ9DZWJK7NgXJAjZlQ
sZM/dqiL8DNDqhi0x0qJ7l03f6A1hZc4bh05pHSmQ+0ph2lSl1Wb2Ic68YLMZhbjOu2aeCtgRb3Z
3ZpjcuDxHYn4+GyAkgS/iK7RK6E16QARrnJzSnfENOnPJXH2n1q3ZBY1zXP4kMtUwCl0CKqbMm0D
NhQsQ9xF6/p7jmAn/Kib+1Wt0wOPMm9wqKz4qjcXEFzZt0DCvpLhhILEspIFPJmFrkwvXGSOIXOX
R6XV7c1AxGEYVeEmlKmHnem1vJkJkWJznB1JkqOE063bTsW1a9QkJ4qBDEWNMMWhnO9yma6YsPlZ
DTJxMfXMTzYJjLzy67oHe+dMpDO6RmafQ5nYOC0ot5mqv5qCvt6GGclHDoyWad2rMvGxTeY0EIRA
JjINcpaxkF352hMTmRAX6SY6wV0ESIY2rzKBkuSK4Q1LdkPSvQMhuGQWIj3BjH5ljNmznvTbiHDK
EihA/y2tUqPIZYGPvLIt3FUCAaol3HKmPksIu0xq/Wtud1NQEYOZFMPzYISBZZI+tMT9Zybh24rg
zDodtzpBmhqBmlZfPFkyYRPy/N2UzaeC6M2upiFWxuRJRPM+HvmITtN5IKxTyNRONbNvO2I8rdZ+
noj1LBOTJefwNDIr1MYS+/gybAeTge5EJCivBqjJ9PMis0I9QkNRAjLAkzmiHYGiQiaLRjJjNCH3
UpOpo63MHxWFc18P8aEz7M5vY/WZm+BYy8xSJS6uY5liWibiyZK5pnCNdhZBpxw3a6WfzoZMQGUr
d3KJRG2IRtU669mrBvAMpV8x0qPZ2UFHWuGNwfOtpy8sa9bWGO/6DABk3YcvKjGspoZfWeayol4+
mAS1tjKxNTHbQ0KEa2PZn0NYRMOMG7cb7kLTWWO7WbatTH/N4+gaQO57KHNhZ4BEqskMVCcy1iM6
tiZCloiEhTl1uRsEVhZX5swSArhOCJ7tCaC1w/KoNiTS6jKbtshVjfhWc7wG4ocKXmbYpm7zqVAj
MkJV96LKnNuxqOtjK7NvO5mCC+rmC/aUfF3LhNyxwoSc4C7czCpOPUMm6U4Midb6t3jdcdbPJLqE
739ehPwicKME+R6aRxUCIxn28s9dHYgOLc+LULlKkgc7fUy9V9MK/u9+hKy0PmiuZ97FdtrzI9R6
XtnOpa8uU/IXYsCfZ3qykvq2FcQPw3APvuIvD0MHh5yPXiwuKm2N6yAgP03TPSmjf/5Qfl4Zfv8x
OG0Yaxq2Li23Pz8UUSaz4aQDUH7wZDWBY63O57B+6E0gDNrKbhtEFd/jiP49MlH/VLX3n/nL17L5
g5HJR8Het7kIBijX1IHPySH0hw0zcxS8BC7dA87kjwtmAJu0Fpp8p3z3OfxoIFxshozbcFMTKP5N
yvdDuvh7OY/q8Z9aAGhTfirvaSGo6Vljo43RAFZZpnzTfnjjl5W1pNYcthc1M+5xsN3prXVERHWT
TsQ9wh+PDkJdjblm7pIZcnKepuE2HGy2blMfrtS6qoH2wBzgdrlVzWXxAYdrkOrACreLdtOpNfHI
Ht+rgFW4yZJK23uCMWEVZXeNQ4rvUpTco+V0VmoCa/IC2dmI5MxXADiuHdKrN9mgY4QAtXilFvm9
wwj+zF63OHHMQQ60uQxFSLeuZ05gttwYLhND344iJOdNcR8VLroyoliQ6LT7msRJhO9i06aavnLM
/G2po8eGcn6V6dauNJQ7ZUmZXdfov5aFmaQlXm0PRVBt9SinypH0vH2CTEsYX4fopTH8zhOwOEKx
Hgf835jAAXzMaQbgcmJJjiZnU83JC51ItZq65mvfjdwl1YiokAdEebJvG/ca3zkWZlhay6nvtMNk
up+txN6XKqEh3mwRn+xYp0Y013E+wSAfgIKA7brg9UOHr/aobkhMIyyN1EYh2r0jx65cTLfwJcwb
T4m+THpxw23fH8PMyJA5RtpWl5nIrTNoW+J++w3LbxI0UgntTqEbN0A8GBfv5x4Dl4XBPXGL2ylt
mV4svbapjdzxvykwbQ+JIvaweiNq7jDRqYYPMPFJKGWyKuMqqNXk0KbOvektL5oiigAmx6pjgpIM
kbcudeqUigDPVQW7aFQH3be7+mBoPJalqQMPx4KfhlqhXlcmthA3rPnBaN2rtLwsZvMlJvl0r6Pd
5g3+4pVxCVqK4PAo1T419XBuIhRTimsm63g03qaxB2A1z9u2mxBjtm64cybrFWUX+Xb8Kn6KbGob
j/2dpYv2mLvqYUiS52phaV1rCwmHUVCOyqme52rVopvHbYGFERkjdv62veqShY/PcB+J8LWOHHdX
GN4ESiS/CxfSZSa9f6oNZ4+ykF2jRZ2DwpKJmp1v3bbY28J6aCI1AlojFwHJcsf3HE/1YA0+FUHJ
ssZu/CJmjzs0RbrVPPnisTeBYxvaay00n9BSNsj/eibl9EuHVkdDPwE1WEVzDCWuzaBuw9r6JFRW
BEUUNdcJUmPkevV6KmaNCOL8EYsjvVdH/teA6qvVUcBWRlVQGSf9po3TmE97B646BlNSJnYE467f
q4ur7msXwKJGYrXN77KqbdhzHIuIMPP2GvsElLca92tX7xLFBoaGdypJyAesMgVlIzWmr6j6RPBs
5LDiQURramgk+B/FtK4T4a3KdnjQpuRoNf2hNHBkms3d4OD+Xdo8YDWFDwKEAXti7WqY+oe4tDAt
zNF1bvY3qRgf3RSkf75gXzEZ3UGUX+Vl8mgP+sGc1B1LL7irYGHqnvAuFcL4ysumU8rGwVGbcpvP
bouecDqHjXGTgv3ZTKO2cfTqoPdEaM9t/25a4edYaBezTK6UobquE4dx79C+hiGiyD5dPmURg0qz
dt1NkeSf29zRYeiG0arTq/syMo9y8Qexm3dNF3pz+mj0ibWLTbswAjwM+iYqJ7Y1DFe+lQ3/vsJV
lgD/fBpIk9z90dKDL/oxA2QhLFe7zMFUgAFS0vX3Gxzil7w4iX9zML7K/N7fZ4Cm+huXNx229/2a
tinTflzh3m/QsWj82ZaQNy0p2r9c2X96hUvm5c8aMW5vhGqMIikmsCb+coUP1dRahYgM/IKmyod7
2I+zWa+1xIC4b9dbRJuQZ7v5ydEXY90K80tjuKeO99baUhGjJ2StBl0THbuxZKSmFmclocl1F3jU
4IWupsZu16bXlITZ9a+zVzxHsdjMeXabmklQzN2BbfptjWCcYT19OITpdtVo+qnIU3aVivPQph7x
617e7ZYxfKBTfbJE5HDeLpNvT/nFEsZFG+2NV5cHh2yF1FrAbpPi6oMZYVQSTQFIFnzu1btZRbf9
KKwD88QAW8iry/Laa5fHqc2ZruksahmCIBJFerQ2qtBXJ9Y2ThU9jlr/mShT02dLvCPHAQl0i/Q0
j1BZdZy3flwZV2leH7IU7cjIyrQeIraTSsmJmbmXGPW+P4r6klhDdZjyLt32Mbe+k9NPplEjfE8V
4VVrlyp51/0C4cpc3l0WxFeD6XxZYp7cKsyjGz2c0ZC1zVsEauuclNne8jAWhnqF765o3UsbM3d0
nJFXrY+IjxJMOAj5YsAgsNhxJNtBLF1wdjNAc5kccaMK0hKWin1rLeKMIgq7nTHSzcU5+2V1zpKd
YYCfUuJYJ807W3xjIVzZnizeAmW5y8NQYzY2s/cw23hr0txtTcTKmwaxbtARoLIpjOQEBey4dMkF
ZdS+m8WyjnP3HUOgzQwBG57SxsZ67udko4XOHKSSVKomZKoAlprR5dVe0CU2WycSxgNPh1yVi6Za
q7EW37IbcZmDWdEGSEOyA2YY4qlgsd0ahnKTaZ5UY/NI68m2VzE6jK0r0NYk80iQRymqjZIT+ZWm
aXywuDIDoUf3s95e971abCLFndHcVa9l1rYELNi006zVD5XHUYyGOKa7lk9RrBefx9ZKHgoSz1Yt
POjd3Beh9K2UqywssIe6VJVRtYQrUkp5jhul37kjG5xoNCmCgYx+hRbBEj5xws0gcuLQO5CtVrYJ
w4JbNidqIvcQChuMYlcUJXAryF9eN/DlfXtI7JtFQ3w49be2XK23egJUPtOzq7Qsup2V1u8dPrUO
UcK2q2AvZ14GjlkDgcEoHuppbe9B/IUnW3GGANeseasr/WPslR152R3IriDSJw0ld199Ab21cUiK
JEqcOJjWjeqAYM179MnadooE1pPBOxTgfqAOzNrKG/o9W7EZ0gdVfpeJTVwUyoEh/S42jIeB691v
BVidOjk4SXE9Oq2vKA6418+hox/70h4+URa/jTZ9r6koq4Kl2dod+/HUtw6KbQ/+eNywnxSpetL5
aVEVHYfBfK+BNvnaQvA5mWurgcno4hYmMvGFSN82/9o6rQS95Xta3xvL8069Fed+GQ3GusjdMkhj
bUARE1nraS6nFXx3Z9Xwz4uW3a3TokWcZ15CpmKXXhF3GXNXteyfiU3hFFQZ+Thpc4xH7WVKIby3
qYHlti3FFtVNoMVYV1Oz2QxJSz+xaMhq2uHcuuNTDypx7SjmNfk7LnBfp9ijuOVfdiqijTQb/Kor
j+grdpk7FP4AdiSRg/3Y62Zw7Qnchslbd1Pz1obEllpDvA4j3X5Owz638ARN54LQ3NJkLdNbn7Iw
t/ZIJVdJs7yC3G+QWUw7HnS2jXSVgD5tWWe2g4SeUwbPC3UMwl5PKVdDqe2U2t7NDDUTHceEEo83
RZ+fMr2lko+z1871dk5hXGmiChS4vmKM1rymPuNY/my9RG4cM1/r39vYuc7qEUdWOe87Zs2b3oFE
ZaY3YR4q3AW9j/XrGHXZTe4pay2O7rNUbCK72Dk9oVN9Ht9ncef3OkqjImzBjkOiIX38FGe+qyJI
bokK/i/2zmu5bWv927fy3QAyKAsLwCkBNrGI6uUEI0syeu+4+u+BvZ043sn+T85zkJlMHJqUSK71
vr/Klvvpd/m04h5TJvB7vbHZi5LUDWR+i+WqXv87G6kqodwLHPD3s9HprY7Konn7b4BjedyP8Qgp
HYlHuoWOXgBmqAw6vwMcqOtJrLRNa9HYWT8BHKQ1oKEDyPgDFfkxHaGgp39HJavUEMBYjDP/ZDr6
xdm/cKRENaE/oT6N1Cb9m2HxJ4AjrpVEt2Y9vM7UWfinUG/N11FTQ3tv1nkekP01mFdzV8lXGYqh
3jkKjRurYVQG0GKreXRCUdw5TmTObmx0Q7Excqt9aoxO87vFS7KWYYweIVIeRx2kdQyQO6c6PiF9
lBfbzrcd20DXy/sgnd4ooX7TQzajaLyVjU2RglS3+qKL1Sf2f6J71mPvex11OKGMcTE1C+1Q940b
qNNbUtW9Ww0kVnbspqtG4xCcZgo6HGlv0rwfV0rOSWN2zl4ENa6awd+VmbwVvXmbRRJFs2F9TD5N
72C/HqvjG/kmd6Whv+LLI13cr4dNnnMloe2jJClyOET7gnBqYd7G0jr2dkOcQLJJZJ4es5qzK6Sb
pPJ12xMNoI8An1iRqkac6Zzc9lX5wARUnoya1GMMjUAKdj5y8k4N+BDdSHXaRGAWI90EeZAeiZRe
z1b5DDlMYYimll6n1p9zU08kkS/ZmU23o+p2qxL/oCWtV1oIkSeC06ASR2J5CJArFi6IaEhelDa4
uA/YnHL+TbAMrnKneMzD5MNykhtbhJ5dpu9aEt7LomX7amNx9E1/H5XKDeLeFA2hRTo5PXCroJPH
wLAMt0jFbSglqvSM/di0PmSRH2Yir8rJJktUtQF9ci6Xsl+Qj2A8ENLjtuqAS67It2mkjCtME1ye
3EddlT/Gskk9SWPVRhsJ2yzbu9wEWVMGn5oP1d6IyurPnc3wQQUuaQ212LeJZD9fZEJ10t3MfS9X
2M/O+QwfWGGl8OKpe0Bi8sWn4WMnQ6LDABM3Vm0/kWf2bKHX1mvtLSWkFhqWl6H2t8pkbyp/vk6T
iO1e3zj+hQ9rcRZ9d0yd5DJP8jUC5dnkyaxtaqyjIHpJu1fL6dBKPnaaGR8LHbp/MbgybD0pMIur
FjLE1dguXKWONsmQ4FHJrg2nPhAjdOkbu2LuRvUXWALlevXKTAAbp8P3QRHLglzwXl5PgDZIRDvq
IvwNJAcdnn5zb8fWF6mMp1p2n6Qw3Tettacb4Bj3CX6T0EI1lToNYA3vAwLBD5REfMVm1JH2mHZe
mctrfni5aofwmQ5ANAtqdq372qUyBVGlyRdF8V3y2NWVFSbM00Z2IZPVPuZGeCC+NX8KpVMDLGCM
U+hVPChpV7pmOEHLUSjkYsV8Q26ZrNspvdEa/5lo28lFRIJ81hE7x56Pad6eOo0WgE684O14aw3a
uUyedNBvYlT+qe8w/9ChkdI4YYidUabAUn566kwpVrmw882U5FTgsWJx0ALph1dO1xqHSKsB+sYE
3dHYa2Apc86cjQYfE03V7ugBfOoynHhBkUECVVHcbKpUbbdZw6sP8gL3xCj0yziJK4XJ/BzyxXJ5
z83rHCKaKYRABtla49Nc5cEtkYzpIYaNo6WjI54qVdKdZsG7lig6mK0bH/S4l22IwMCA9NVDnnoq
VZwUMWDNv9f0t2t60Vn+/TXtvqVv/Wf91vz3Pb088Mc9vZSdosyENBAGH0Kklj/f046D2Px7PJIp
AT9+SJns30yqvhxVIunkhrf4oz8uaiSg0BAoQQHAlySkf3JR/1L4vFzUxoKV8EwqwUeOtcAcP13U
eUD+Ncn1xbVKB9yuZL0PA6SDtTEcOquf3KHTmyNNFMXWUGewsLG75LFgk82zLzV5dh7JmjuwPnPt
GIRyB4M06BANK5cdegaBHXQvbG2FQDBJov4wZhc6mJ5CE8K5rw36idX5YPvGsTbFUsXAZqyEWyQy
Tz4HsDtX9DrVE6q/IiHzNG2vgixGqiIYHohIQVpjnaDjHgKz7FZtZN84pKF7eR3BgNRvOuFjrm0G
j32GhXmIwsDNx29FDvNJ5tbT6KOR0Qzj2UmLJzmSA55gRrLSe8XMTq09lG49hA95jVNI0bJd7g9L
Z+Atl/VGC5QXPRrdgExDyBYLgWt5pGXzmUzesxFyUYXmuO1p/1nxoXjDgEvUyYgQXbHadSTncKWN
aUq/CIWPk19NGG7zbt33/bScnNf1MCLRD0gbDzHqgJ6fhyVsMZgHbWsm7SaWFaRAT2409nlX0eeL
4ct31F/3STdtBpt9iMKMyyjkZgozJP+Yi5ByXGRnPYSVj/hdTM8yQmsaDWbpAbZxJuZ0pxgRhQk5
8vS2nm/qMbc2pGtfjVr6Gc6L96rVH7jdcGbhhXBl4VzHvaWfU9/ajXZwV51FuJcwMepgH+QUxy4h
iZvIYhIRVbSO2hmPmdH227qzn7nSUeuSVbVK6f5AKJyvkqx4TyxZeHGLXFOvtE1qW96kgnu1E5VV
aJMI3vtS18YnRtFPgLNgF1TiHEgMxz1GgYkovHVMt8ejYdJfphLQgryWRKm8usKKuE9N7WR24aa2
A2D8NKrpSRt1TNJy2trfhKW52bXroV+mkeGDLqShdk01orEOTmSuRIPYrLoSSqUTIljuHLlg8TrJ
mbltMY8Je6cvVEtRj2+oUe4j0i/6JlurLWnpfHT5HDlPhdEbuJIgbUBoqnXkBOP3zjXwaIuNG5qn
JYRiZZjprYM9lBowkvHhhHJHYo1rtFW20EVpEPO9sNJubUPvbYyFVqK+R91QOJvio5q7wwT7RDji
u7HQUS28FCYJXCoSF0jZ8LOE7cDcM8MuYK9fOnivi4JvSryQXUZYXnzYrzBTVa9cCDEJM5YS3N/C
lDXFTSQEVhRINLRJaMlkcR6XjPweos3Riw/RpDA9UHCZyMq1lTSJp4xK4tGhAcNpLvxkhVIrnJUt
REo8v+oLtVcf4xgXwrCOqHTFZsDHoM/8N6wwPX1Q1clfWMIcupC0+l1OQwyQUvioBMln0vGV0Qnm
WpeQjY2DqnxhHx1MR4t5777K/a/OQlGi+ANCWljLIg/WYpwr8kehRCi2yY+KPponDb6TTtbqPPaI
d+yFDLWc2ffGhSDtfL9gOYA0DYf+1NeJDZkHoZo60V1Y82k2BXErdRqHa+Hzjo8+4GgyzTeFX0oq
XUicbLJ+dkuYW6OqO4A4vljhTCam0jOGEv5AYxatcF5RtYJmOjAU6OBk4u8i5f8mE8YhhTFWffXe
XwgJTe+v/IWiMOZ5JLOuqOv4uhy1+jn55syV31y6DX5dCsEW5+43F2+0GHqrxdprf3P5/jsTfJ8J
kKj8j5mgAIr7i8Vd5VG/DwTaIlNW8avT5wneCHnx++Ku/4YYgCQf+kgE8Ro/DQTOb8jY+SNkA2T9
cPn/MRDg80BzwiJERvL3PPd/MBDoy2jxK69BaKwg5YiXgMx5+fOfBgJCU4NEwUR7ncylRUW3JEbj
C4UXrX+tU0+QZfAUir6jGgiIqQvvJkFaHa09JddGp9JbgMd8SKtk3Tmt8BozU3fqQK+WPRoQC33x
pk1z4IIVvs1VM3qZETYY4CU2VQJU8BVd4sp5ZA5p12XWUIloN6TsTjNwpwMhgo/Dpwgy6Qn1yvp1
WLepF8r20OWls9Ks6KnX5E1k5FuZZjUVWx45KduowpLSqxnLYlzczBCS+Kz2HICEO6cFHest+75T
NcDL9fzmxPWNlLRLd4CwMJH6RVdbNgAxFxs7QX6r+2lBJFX11fCDty7GNpIpFkvHJ5c2ej6zWveK
EXhplp9GXTyVeQBnzTSxE02euUxWJPyUbAFGwaA12w7Su348GHMUr/V6/uxsn5W6P2jOsNWscYOa
ftsYyCKp3QCY7lmyCP6oe+OzBZXDa0xehoo+zTjmoHazORBSHPjsPLQFY9C7txeIL03LXQbmNxbx
fQoG2Lb5Df0qhxBs0M+igCDD7KbnLe0W+FAdozrftoTHb2xZXmlm9oVKJvQLln8Enj7mfUS4C9C8
RF2p1zdkO5X+a1yjf103RhHkN8rcTiVtrcCFgZqQrTLHSOtkn7zrpgHODZoS6d2704QbSm3Qydr8
MSWWn1yJjRsjxEMHS/HUFJ5F7ttrJkf6I9vw66CAUcb29AIkdt/O443Wa69GXdIuMr9EeKddiTp/
bQXiI9LHq0ENptelcgpbc4lMmyp2e9l+TRUy3KxvfCfdsaUrx86q7qeIH6tMOzaywL72R3AS/B+Q
y6bXhS1YcCKddSsndTdbX7W4EOvFi9S3KXExJdF8qa2fk4A8YFOJrjB5bseSDrk667F3F+F7QFE1
m+c0b2xUoJAowVZXmheis3cFXxs3X3AaGwd2aTWLQRRPkSaT/TgIFtRauUy+8ly36pUsDQ3IOH4w
adBa2wSnozmB8XdsTEw4oazEQstRXOVmM6zCjNqYyjYpnUm+NmF7XWbirW/gKlLUBskUn9FgHMol
S4dx7pAPKRHKhtEjlgSuDzEuxm0/bKsxo3qUUNGV7qRveWK/zFaxRrm+V5vgxaDw4G5W6MhWQntc
JD0PlhLejQiIUDc+V6Eg9yV09vNYHejlKg9+0TxLaBHgyztFyn1o2NeK09yEqvwsxXzOsnqXFHw2
ZznRXq1hAO/14LbvoRXUgnauiLyo0Fkno5Ov+PbI16Zv9iGa21vfxjoa5ekG6u4g2yb5F5X+bu82
Oen//mq770jJ+wvKfnnUj6uN0hGEothylrhxEOifdt1v4f4GZh6IIL6Zy633Y9eVv8GfWxYtXOp/
PNy/77o4evDaIJaj2svQluX5n1xt9q+qO5542Zh5DZrAW6SCjP98tWGFUas8K4j3Z+MgiKB7rScq
b5KkhTrssW3UKYJq1oWp8E9RTTG1qQ2NW+f9JWuKvUXP5KpBoAQpV7H3Rhjz4tNkoTsuKJRS1eSj
V/uE73pvLZsv1eyDfirmRfatysDNmqWgUkVsLV/1Rjw7FV5gG2hq46dQRY4yb1LQOCwgIZGuNTsz
Be2rqIwfycl7LafioQ+xkxRtU1KgLB/rqt3nNFy2jvLk5/A7KGipDzr1SXhsi+i1KWguiBzrUhvm
e0pDxzrjB6PhJ5JbpMlXnVa8ZJM6UexhIBFql86DdEDPPDxMelmvg3bYCEHHkB4bgLkDFDeuwo8q
pCXWTuWxadP7IZ8T16aw2Ezs2yJyPqrGuRBERq5tNQUrddlR/GE422X/rCb5u98WL35FMmeRvyOq
oFkoqYN1Bw+9a6zsEpTOLgqblYiD11THMVCmdukNEjRwKIv3QXNOiUJRbzZxgZQLvDbRjrshjqd2
CW488nW/qoR/BNj25qisNxNNW2o9XAWOs1uMBPTyfo1E/EmG672B98Y35ucsmDNPtXiRvEmOWpur
YaC/XFdBGnQ6FG5k35xCZ/xK0knh4QDYFgzfblcTX5qp+pMIzFvR0mWOy/NeBPpXeLR+P0XLw82u
29Cs8pzBWDdFSOSOKclgwRbhd228lTJ9odAs2RAhTAeiqa4i+kndCtX7ShUKLvZko1rsgvjEtlx/
BSwtNomu5F1DIzC4uim9TixsKG4VFnoqxZryEPkIKmbue68m0mNlDvOtleIgz8l/qUTlitnHnZlg
KFXbkcbGuWGd7PjE4TZXXHvmQzw1vIeZXgbroZ7vsHjxrLmNvaHf+Gp3N9vGVTQQxWbpKS1eQApe
gMp0hUHmvS3GZzuPaA6W5RdVK+AUCx8ohaVyUCOazTCiFkq4U3Ml9hSLxixVLbZcq1tNJeMWm5iz
Ix9oWhm9/Qncc7THol+VTVyua6dFrTdNnt7Ruxpk40NRmbSWkWPHpxEDrNF+aTqHGJFaw7M6k2mX
jVI/iBzUFv+uE+xT3QkNL0mGJ91O6n5dK00YPfJr8NtrvbUoBpMRI4r0MzW/hx6lux4TxowmDeIk
dKkGsi6KH0byMlU4BYxqDF7g9ddAxtawEqHwzyVyB+IUCfcZxpVKvEloOcFdWKmLacocb5C9XhEX
GBlr0CjDXHWY/73Rlk217ywVC1QVIe+HeTXSzMMbizUjJXNQjtVWjQ39ORlUNTqledlxzqQh5avS
elcDWsTJjJpq8GL6R50ZF5VgGEV8YgX3amulzYvu94HvhQbMHNaCTPqveLRCcVL1OkOKC7pXuv9u
gt83QQRff39dep/p/zvjuPuLG3PJrv9xY+rGbyablipxeDqStNiflkGBXk0H/oVB/e7R/3FjCuRv
RNWbpJ5YwlF1g0f9Bx0mK8Ugwx4z/tKFDP+r/5Mbc7kP/4jEXxJVNOBpR3C4OIYQiyr/5/uy9bu4
Sedcv+RoGtQkOlpB4hr9tP7pN/MfefzPBZb6t53yjyfiJyE2d1HWA4Ub6PN+BaEVVgQkPslwMYnj
2ROkbou1OXdXGcFp3K0BzqHBQrjQFtfO1B2rpHyw9LpzS+TE7oDJdJ3UWnLoa9PB++aorjG1ZIqY
5ZIvUD8PTVm6uP7YiRZtWtikdyVP6NK4finUiAmSuK6VXdGVbit94BrIqtA92YcqG10i4NH+asRv
OaZEz5XkG1/2G2JkWq/D4e81ycjELp4U2zo5onNW/JjPVK4XLvDvHfDTrZKNZ0Uxz22kklg5oPWQ
trOvnf48+BklLI72wFScclv2vUfsYUi4SHtjMg8Monty7PpTD6zXIJvgxsGKEjLMaMWJLmbtH6SV
RRuSHnbS8ettE1JxbdT1A33Yu8gWgUuI+AEt5Jd8IHW1z6B3ZY/jLC3GEsPVIrACBiOAfn7F7dO7
s4ivhV1v7GnJ5SwNr8L/1VnaQ90Ep2KkMbHQplur6ramo+/AXSEcATh5oQbRYS2ly6Fu3ikTRUFZ
Sxak5bw6LfgntThdhcm06QRB/ih0bBAN3r94m1jdV5uYNhJUzBMxMGwUZBR7FXu5RvmLTkYaJb5i
NRDstEm09FKlYbwxjGE7Z+IUBH6wajWxdRi9QOSIolGk2Xtl5bzm6PSQW94W+TyRwtk8QsZjsm3g
EI02vWuGbk9fUe/VhvquUsO6CobpMY0iczsaM+UJaMGbMO6JMq4/tFT/0DGdusmo7YrU2WMW0Vi+
hy1qy5sssT3Ca+TRMubclWn+Tvrxc2hxX2SyuGftjT1YZWyrnbFFYujqtJMhpnLqNR8x9OlUKq+1
Maze8pirdjMTrzy5piRRVVOJ0KIiVa+DZieGKl8mlY1mD4tyCmNrmpqIo8n3V5cWSmF8DKqzj0xt
08+A0JgYy/4xMY1F3zVoeEXNaNlmsQJ7SazvDVBUDalku0DsdvUGeHOrJcon5neIbRaygk8jir7+
fgyaFjH84BUDZK+SmWgTh/5I3HThKdx3ZsQ93jd9hFotGF5kbDWYW8tTEKm+29AhjYFgFYrmWMbE
V7TNbhja55kc5tXo0FYeq5e4Lk6J5Ctr5MmFFfKQKsp+TpFihkEYrudxQjTbEyc20BsYD0gnxk67
DVu5HYv2MwHWoYwGfZssn4d6jWNlH4r6QDTZbpLW24gBdjYZccnDaZiBX1Nx1w/U+nXdVUl1acqo
Hee1S0jqIiQVNIrSgEDg7q7Xia/VGL2iuey3hhW3G1VD6xr04nWRV9BKNDAVovwQQ7nttPyaofMF
Jzyax0k8tq1qn8g4EtV9EfduYOOk3dGVi5vv/zhG/7zeLKco18UiBYJKBGD8NQSc6CgqPyc5XQYK
kFZi61+Nd8VpH7cr5S1/Kte45l1/5R+AHjoPK//+fz//Inj+8yHO0zsW9w7CY4LSl5f3E3BY+53Z
K7KbL71FouPeUQmkG18V/Kn//Hl0ghwsUrqkAAv98/M4LXdWNPbzRYuO4dis0vSTsW7omv/jef58
+33/dfL75A7UyGDAxfLn56ngd8xOC9WLNA+1vC7JPA7F0//+WcRfvWc//zC/PEkXqmqjk5py6TfN
IzaYdb9TP2xEMqviRGxdsLrF3L/KNvru4Wx76erc02nx2Kz99U18Nax2tVcfW4//0Ss2/LN+/N+v
T19+mb++qeRcoLNnnYes/uX1pd08g+Gp2gVJ+dm/UdfqSXsKrtg8YEK8aXX1om1H91xthh0dBdkB
VPMGre2GpJt/B8nvuIv4n5TCXfRZ/1Wp4vKo36dINAZg/5qDSRn4dLEq/E4p4KIAw7cMY4lmwhjx
B+5Cdp5FCBS9BcQCGX+KS0Fb6Gi0llu0ZOuo95x/MkXqy0v76UOExgBBoUU7OWpAzij6m/78TcKB
lYW4mdRrZtclWxYWWGqvRfChOtiPiNqoZX6MbAjuaHD041Dy32vdupacpV1VbggMuE07TPDNTPyE
Mm6bJHzOa3NbldatkXO8orGBhXsBQqKjdWwRtCWH1sTKRmY0xGHQPZRjfk+ZDzFojsqCzYYN8Va+
+HHkSVM/mMjnM616m8n70eL5WYfidbOxvQpNAq/H2HKTOdo1HVhOnM/PWmDtGKgiVyTthaLvlzjL
H2a7ODpx9SwkTeiJqX9VhvwJhu8x0aAACVDa1I6yma35Ejk0YfOTbUuHQM3ByYEOcG4avp1AVw/7
FjcdOAc7ei62VkVMfNMjuM/sx2rAqFW2k7VHeobh0xeHWGXUjAdlh6JN0ObE9dKhzy3EuNeRmg2l
vB3K7nZqs/ohNae3tIQ+kJV9FYTqk5qZB3upXi3V8QS2APYRWMrajPNd2ysxN2p3EKLZS2xwyPvM
q0n7wOD2Gvjdw0SvA6YxRq7ZHl4TtaHhlXz/1BKfhkUkOobsh29FvIMqSARFaN02ARz90EsYhmkX
N5Du9rAu+wgtOr+zIEiFN0xBDMSfADvX53ZstXDtW3GxbZlcRoIxMJ7MolTbfWHTE9Eu4Yya3pLn
UBVqba31SBCJx1XYOm9pX5G625p668mEVNfVSOa7WJJKaw+NALnlBJ+7pXBOWVdVa7Uw3vOwhg72
AfMNQXghMBn/NhBwMTfv0u9IXscMYGPPR7VBgwAN7CtLm1DTmcmtNaPMswzrrITYZzCW8XeocgXU
8ZyO4iW3x4GVoL8ruySkjQu5GQz4R1w2X/Vp/JxbyrRhYB4DkrRoizBOag8EkxAwVOdKtI6H1lgL
s78geA08w0l2IqxfIKTajaGIdG369gv2QEydguAZaQ0fKLTp+yZ7mU9O63gkd9uuSljvKQ2Uc/CS
9l4eBFf5GH+IsfHMjM8LiSVmMh9knm/jorzpDVhsMiAfSkH5sSyCJaEF+y4TdKDKJx/7xNbkv9ja
8BTM1Q1KOXcSSnMcmpfcZDD1J7KXsUHOkcdfBRiCOgeaAGBLpitFCRs3rUeQpWEhdcLqtsNUsk9Y
WWaZn2dYHYLVvhL7Xbup6Cllq6akfv92xf3rwNO4Bv4eoNhn5WcdvaXcIr9U5iyP+3Gz0DDOaYUW
DSCAS2Q52X/cLJqkFJCiQEJXvwnReNQPRN/4TRgU/MJV88DvbTk/1Gv6b0Adps1HhPKnb4DHP0D0
qQb+5WZZrhSTAl1mTrm0SS03z08zpxVWdT4q1UQmVokGRkMMbJ1Kiy3/qzrPuam6EGYtFnAjUq15
V0hwv3zljzEonxTJra+Hg2cj7NrVGv7kFdkO74HaNG7h+KTLJXckH2eXKeGMq2apb4wlbhQkozkV
Un4NSzv2koyTiyCLaBN2HcRjg6ioJegV3YpmHueuyfZKTorpip0hn9xRshTGcVCfkWMauGKcYyzb
5EA0e+415TBtADGWBj7CklLWdRd0AEU6ViyEwdMVcN3RLlr/QO4yknDFYfRD4kLots43il102oyO
FXrGUgFUGWNC6tK3gELqN2gaZ3sUygtl3NelHPMrK+zuNRmqnp+JggNClgCUk3KuY/k+5OCpVWFp
28KMv85x/GoNUZOtRK9ltAnBBJcinh6wqvleVYe0MxjFvgvjzzaY9RcdP/XNDHi66WVaeVaTomOb
ChAAotSdQ6/42loOqnIlylE9mlHebiOQAyIDUX3XNDPYyJvuWJLoJpnulRIdXSG4DFW7uLEkUhjQ
DqhcaqQ9nLnFfqbsfSXUAefglChHLSQN0Zrq0Hzpy2Bf+qrBQOBPWksOjjKFBCvVtayvQ967HuNi
dJq0qALxCLSlxyXmb6L9w1GgS22HJj5dp81jz72r3yt6l0Z7/IXzVd3nznXUT4QxFFz+8EL8Evxr
x6cdMIwS52uvOclRLxyPuuL5jhNMG71/T69v8OriKPkfp1c+/UWE4PKY308u8ze5NELALdp0gwsW
m99PLhsFjgpuCoD+3Qj8+8llcdwhvCHMggv2e/Dgj5Nr4SLJuPiPc2ZR6/6Tk0v+efEDu4WLNJbX
gAKS6dv4ZYs1wrTUgt5qz1kiw01RpJE3Fpmw5xvQlrkn5tQJ/VmuRdirYb5O+mRYm1qra2uMxVMO
HzdF5JdXdlRN1/GAGchc2d1gwl5po6xwnplpaCAgybOUbwb907Drih/3OmVaTpG/zqj4xcXqOqfO
PQu/HR540xya0dWUKm7eLAaSeV61Et2o6o5j3TtULvZhvY2b0jnBZoR74qshK4ZBPFQFohYbhrDq
ikUbn8SkvlVDfyBpYdrodpSfrTTpbhE0DF9UZgPSl+Iw+NKLetykDX1SBEAUa8BIanQU7AAMn+EO
Rpgl2B6M6UazdCI7umI4US8xnLW4X/pwyq/ElpE3TThi/YYdjnmiFXrnhr6p74mob+91Uu5dfoPm
uz2nzrYP0+GIs3flk8q/TRVh3BJ5TaKAERDT0Km0PtsahjezbZU9meTTuVbreJOAhG9EqZUoeZqM
7HlDQxQ19xRQ+io6Cq0ECHacUH81Fs4pnKnywBbd6V8SQbJLVzXBfkri5nmJjmRe1cHUSyfwZuoC
rjs4M36l+b5ypHankZiVujEEwAnK1YGSK8LztHB5wUS+mrlwfA7+03U8O/aZaC5zl1V57DoTgqfQ
CKZ3Icf0aA5+89hBdiOFjHMXtlo/sSQuydhhk2wIR0VdspCbGjoLCFSzuRjRt+BwtTgAvFBkBZfq
T6QZkcKGU8Wcxq+DoPfCLrPgaqRfmtcWWwpVHVIFqW/YQmhzomyo5QivJjxYZYBVUwx8ikazxiw0
645/RZa3fOygrKmE0I86JdnXvHx/o5DqdSJ/mv60ulavpzkE3EQosw+ivF9TsBafRFNOt+HCy/fN
UK2nqBvXQT/7m6ZqmuDfk/U73rBgPH9/sp4/+7ePt/+eCpdH/ThbF0/DEp2EY0BHebjkL/w4W0lt
4ECDmSJbmNbDJRXhx1To/MaQBuAgmdes5eG/s1aGw99novUBwKCDWjf/ydHKpPnLUGhCi1lL3tdi
a6AA55ej1e+IFABVmK5JmzMmVHBY/wdCgJyHkcr0lToRXeTo+ZED4daexBfICsW1lJl1OsT6PkUN
BqTWITzHuSacoiDIRX4h5f6Uds7jPFcPxpB/7bpgUyn4yhFYvKQlSmO7kUvr4rxV9exYDEgmer93
VslsnAe1Ct1Uqks2S/IoAzlvjEIyNvqU3CAnhOMyn5PUegym+Qtx+7lLmuRuqLqHJGovtSPOke1r
WPDsu4xtrChGwLi+vSoGLopJaQ6aDY4w5j2ip4KfeSY1CEmA3e07O9yACvmr2Mw3eag8dWXkAqGu
TN05p3awmUUYebjnCGDMG209Y6ePKSms7NRehsgVSpqPwomuCW6SJPJXEzqvzIt6H1a6bDBoYGAw
Y4OqrgV7CaD0145ivmRzojPg+RaFXmp6ZSEN8apBI1IG1RdUyWJB771UYPhwJsER78ycqd2dnIhh
mWsTcUtfJW4Q1eLOoeOgdVYEUMNiMD8384M2DPRAYjSsQs+sWnWJuFrwgvE7eBAuQAInPAMs2IIt
+3UC1qCmI0kYgA+ETBOHEATbcQEmrBlmwgerEAtokYFelLF5Shc4o4cWmxeAQzZ8cEIwjxbsI0o/
a5CQCooPsXdDVFN3GGuLXkpQk0In5TZcgBTN6k/OAq0kEx1oYC2TkFfZAr5koDCVZlYPImtug0zc
at9wmmHf6eN2jGN/F5lI/pXI3yG7RG1eGYdpgXsADaz9pEwcpWBBSl/bpFgqG0AzYmtBiIgGWtng
R7ND661alEggghzL6VKHAtoURcR/sAddct3fGOBRy62AhL97nNP0KQWxKgx+Z35cPTNnH3M/eaA+
8CXI6su4gF1jS/Yi6FdT0yqqFuGORcpiM4cKAinLOjJ3dLAzmqxXOVhaO0VrbBoHB4xNA2uTEW2C
PtmYbrIAcWmd3neifggXiK7ssCOADhwS0Lty1tiArJdqgfVYCE41ON8cMv0b/pO2AIDqNJFn3L2a
IIN6WmwskEJDmNfjAh3iNNKP8QInVuCKc9LTW0k4aP6RsFPBrMbrZvC3RTSoqHuF5hXmdIkkmiZU
PStnwNLZWs0zmxsNdlJ/I6UjxwOSEH3biCsNjeuq76d7uWTNjgVySaO27vE0H+xKfZnt8ISM4sbQ
KdtB8LRyKucDKckuc0idlVa177uMD6B/n8bzuPZj/dOM0U5HvXbPx/iZBkGsQfQ1tZG8aRwDC8rE
Va8Ml8IfiJdvNOH6gW55oU8qbyops7HbWkOaOqbsqc5tglOV0Kmy2vt9qKL40nAXS+fL/2fvzJaj
xtZu+0SrQku9blOpbJ3OtA0G+0ZhjFHf93r6M2R+qjDFhiDObd3sqNjgUqVT0vqaOccc/faJLKSL
L9mb4+vw13CffTebKserY+NY2o1+mTV7K+jScI30VXxX5vLZnwgfBAMDP6a4Itj1k8zloUPFCr3E
EV6bqNdhG8SrpgybzZRikMSj+lJAqwBCQFxZnZT0pW3lMLV0+A04FvApI61dX6+vZmkdKWkPUSf3
Ydje1izAWZBre3Mm77UTxyLjU0ZEEZYtRghjFvp6CoJ1HGaIayz9vyP/65EvmYv87yP/GOVB8+8T
f/mhbyc+8k2dCT46FNId5MJO+ufEhzZALI+55O8ti8d/DnzzryVBj5gJ27SZoX8nU9GWZopuylKZ
K1kMkf6ombJYYrzdL7C/4N8HuxEME72e9nYKJH0N7WJpGdeYibT6PQIvtPduPmVyTegCIikbSkgE
HSTRPhLvs8ioEFQpQkPtt0is6le5VfsqvZpeZVhZUSMt/CrOMppYY6DsHyDzoBYlKnlOboos+UBM
wa0pw8dxUEmO0LTrycyrtZ4bEfsHnDhBFX4qrNBcqUqu0lZw+09IwMYWDE8ecwyoybQetOYulP5H
6n+4K4AH0SqkYRaM9wkuHzeLunnbEzhTFlilrNF0i25q85MuJtAhYQyiLPI3lBADHjNELH7el594
CT8GUG3c1sx8jul804zR4BZZvKtisYsiXqtjTaIOqVj0QL62nvXsfRSIZ/VU5tOp0JP1uDjvnRR1
p5/672Rl32SF4jlTv43nG9ma74e++cBixtPzunJO/001vk41eDz+94N49ZS8/OQ55Ge+PYeEjbMz
WJTQNvs0iujvnkPtL55LHig0VJS9aKW/r7ypqhdaCH+ovD6j36Ya9l/QTA126RaA3yU04c9K72Ud
/M+6mE3f8g7gaSS1AIma8+POnEmk1NBYG+ekT4OjCLLKvxvHJK92phol24GuYTVZyJJwJKxhZqV7
vTYG1+iEsUugPuwz0uNOAxqWBGUj3tERrtVKt2AFaJkkeBi9yEAaOWlN+UE41Gmv1duYKhszCxgf
ggdzZpsztW9AiA/B2gfMn4ElDY45fgCipzbi1SCwWAVQLjHIwzyQLjaCZjEUDJInAofBrJXbAcdB
tVgPlMWEABSqd3N8Ce0sr53GebH8DqeRfcajvCfW7C6yl7CT5qNYDA45DOgKx0O9WB9w8pDIHbg2
nogMb0QQYZJgnB0yJ8E4IXFQ0HHvNbv0YsWHIE/C6mK1mHpMgcliv0CiiqlBp9ZYrBk19dDKwq1R
LbaNpFaPSZNeVynRj1YcnCocHiQnnts5/4IGy1g5LU7qYmBZ55eHbLGHZAVYK/wiyoR5aDGQOGQr
ewmeEmsxl2jWdJhxm9h1eDMt9pOwjffdYkipFmuKM/EaXMwq5WJbgb++Y8rykOBnYZZQuIZWz5tg
AncWlOEzZsfanRYjTC6nrYkzJl0sMqA/r/PFNDMs9hngQfelH+qkWn3pFoONuVhtGMUy3kbhbFvy
i1jsONCez9Vi0JkXq06PZ8dezDsCF0+CmydFI+X0SJX1npXoYvgxgpyeYTEBkfZzsHEFWUxgQKBi
FJI4hnR2TEagP2JDv6ls8Y4R7cNQ4p6q8RohA5w26J0cD6HadWZNu2QxJtWvFiW8SuNiWiKjgmlv
GWxi/EzTYmxi2rexcDpNLNYLwFDI0NXIbD71aDmvmLExfc66Mdi2SE/S9WBMhHozjd5Rq0Esx9PZ
ORi36slatbaFLCnjbbAGaZw7HumOiPCX3/ic0wxFPtoP1jsbB2gEzvEEHxvHCIEDvXKeeRhuJpgd
W1T7w03JIAonuXrQtFhzdaieWrXsUiGvnOmFUHKPSuFhzoYQY1Sw3BM5KR6yvnGfMfwmx62IDrY9
zlurNwaviBB4T+GAxr/vN0ObPdtKcK5I0FjxkjppGLtXwBhvpsYK1k0aX1cm8H1VfmBUOd3VUiQP
OazElVplTJ6Yi0u/Lj275YasTS3xcjtY9XrLQZWXuJ8ZPK5sxea+UXGvWTlKNjl0PfkFOjKzwiHS
dTolKo2egwW3YyGx6mi4VwRBfaq7JfiypGzH9wzUBA6oYR8EwoiDDGhziyVkW7Xz+lG1KqC7OTvp
LoBToi8HZR5aKcS9utyIMs3cuZ2V50qqH+Ms84kK5++CBrK3+YxYL0lQ2RcZjUEDzHHbJ0SPSHX5
fn2qckBIx8oJtyl+iIgnCuByd4id+gatO+m8woAqUBzlpG2jDPtj4aTIyOeasZ1ju2NoscWyO76h
OUU4mWzaOJw2WZ7dhEZECHCMZaGw2eYT8MTSX9lGRvKg9PW2E80dTVCPUKqmNUAbl8vk1HR1sJm6
LMTUV2/9styZXfMl0Hwaag6PdUkuFn8vXakne8zeZU2cXjlhT+sYNaxiIsfLCoM1MD5JxqwfKH3Q
gJbHzrdfxkIlX77IDm0yMKCT49Yy9bv/KoSvFQJH6v+uEE5Pn0GO/KRG4Ke+1QjU6qhsWIwySEOO
t4Rc/j2dU/5iX8pG5B+m6rfpnIUaaJm/sbm1KaYXDdG3GgGD1lIbQJwxNSBhf1Yj6D9EG1Ej2Gxk
6PsRCTIHtJcR4fc7W6HIqVFbApN92EbWlGWrFpIqWJ/6GlnuhzIRq5JhHf6d6WAxgN7mGZKFotsh
eXzRRV8hmDGYdOPMItzwOLKqXc1OfMrZlKylEDd5hGC2LWwk3Vl6rzi8KP2IRB40DM+yK+N1a3fX
LTFovewf8Alj5Uw8RCJwEIPw0XTSteiH4L5WOwXmR3IMssF3LR9VMf/ZxabrousiEshVpPoAigyt
cqSDyNN04h2Zgm3G1v+CtPRFSw2TmbdienaB3zOro7siCW/GIH+aleFeTOCuHDPo3cKISAoVxsEw
BeLcRR9ROuGEoqn4ZBvxc2jV1xkt2Koe+IgdceFeU8oLnId1nCLLLudjXERU5jXCalBSFyOOL0qu
jasoAjw92KjkU5bxW0Z0/YrZ+bPfxKxKZEccSmiT+BgadB1K/I7BxoWOAxWfwsa6gZJwNWTOXZP5
6yyTkMyHehMz8FkLZz6GqXMI2/FYFqHiWiRQrAjT2AcSu1JQ8LaiOyhWRWcI8psbe+2EygyTtoA5
WRid14FVoEBotQOr65ipwfiZNNLpEIB/dZVc4dTIYnurDbbwykC7Miu5r3S75KXl+zeTyJFjVq2z
mQJlmeNkDpzDCBNtl4c3hSlAcFCORdamiKtHYjPmbRPA/kzLMNsQ9RkR36xvLHqXPXqhaWfmqJOC
avYsK7dWaZA9M63IUKCDG2VLlHlpPo5rTLCPqTVgQarLU5SUE1xfDTOSHW3iKB/Xytx7kS8BMeZm
c1DV6jbxWcZbFJnreDS4ITu6VMZI2q5Wp8wNuvmZ2DttVWJaWnXIeFZxkmOK8wtrF8Vqv54n+0QZ
4mCfN1/qsi+wQMnrfACcq7XcyoYej2TiROmmDCab1Z15l4faY28RphUBl8J4bqW7thlTKKEDwny/
2ZMQ/YzfMoeLiteISprqAjvVusIq6CuUdUw29R0S7wdilz4pSbG1BFM5dWxOIhMMeUkTQ+ucr+ew
AkysozYerMpa541j3lBRtkzJwFww1ePmjbyxRq+tDS9Agj6MAc+8mthwiUHE0gqMm0lrtYs1ZA9D
XjZr3wYB6zctsztjuh8DEmRMLBxMkQFxDE6yLgqU8UlSfLCLbtgOKa15BFSYgCy08uBTj8vgmNE3
IdOTkb8jJetcm+VVNzoNSWX5l6it7lQNlopqH3sbjUIbH+c53KpJdghFeFJiqtxigumrAwnbZ7V+
q8BQXUv+vRvyt4+2lgwuwpN9YeF2NxP+w0kiaAb9SB7tF7O1Nk0yLa8mnbT6bDoUYnpSiV1cvZr6
qhEUASAb80AMzsYegxGeYWy17Yc8qPoCZzz2ZzcUdXGnIWm+L8ZxeBh9lXQiU2n6GlqubTwGSWEc
sIGmwSUlhM7et5XQH/3AVP1TjBJ/mzGEW3cO09KQWEZjRI+GsAEcLvfLToel5A0xZcTAfecZJcY8
7sKHTu92M3KWheGwC1HuoaDgeB+igDFm4d/Y83wec3AHcwaKlubukppB8r5DJuRlZcTrKSEDrgvi
LySC3tQmbZQYoLxGTQkhCk6otcg1nfZzNvX3lVHMYARzcLn1/ex0CGyU+eLo0bFLJsMtS+UJOl+/
KvKB9XZ2Kwlpc9vWb3ZVKthYNP55ShTVnVqk+CKIR3BJg0z2eaH2vLjyJ6vooRqrXe1aZnQVJfEn
1R54G4yfRkvd5CCmkC0aWwLYeQ5T8oQtkbxTRtgGwO6SnU1pnoOOwGkuevtMiFW06af4i6mFOCvb
vZ8zF7XSyJOU5ytps6NEbkgVnQ132YzdJfR5+8G7DTa5RmTVhP5yBefVwx356lrdar0i3WwgZlc1
q9soxruU1taVX1aXoiGokr16uHLoSapQhasks7URiI1R143rWPk9OVaXAkYNrI6cTHbzAxPv53gw
w+0wpsehHEHMju3RL+cPRgWxt4zOk8E2Qm3NQ+lDvu/ichM5CiQg+1HR7GirEXrpErEqVx29ds46
2DWQNgLcX+PRvrMc7J5S1V/M3qk3w8zLViMJLc7IoqapNPmL4wZRzUFvbQAfEfkSUW3tHdPi/Uw3
m/QzotboDmTuU9VZe7Xi/2unq74Q94nGV63YZCkDk+R1wyJLBi8xpl2DlIlC8Kd+aX9p+/hz2chj
pobb/+rJ13pySaf8RT35kn8unqP8J2Ka5Qe/lZSMnWwmN5SAeLLV1+Lw75JSX6pNhpcYBdkHOyxb
/6+khMWPyIY9rEPsEtPfxfP/raREgQN4ToFj84fbXsN8O3LCpkHAMepyhOwm5S7eurflpMVgxSb+
XJylgF7Sgv4kD+fFHyCGJ0ZqwkxSNoaMN/UUoFZF813fOphdb1RrobQwRsmt24BjyWYQMmnrrpE1
7LnImp4NAfzTDMkZU5ceLq6Wvk61523QDPwTANwt8QA1o1T6Pwy7o9eXwtnUNIeEWSrPQUW/WKlj
uSmWHnLo6Gb7pa9ExDx62tJrAtqvH0H4038uneiMtf4w5NYhjmtg+LSrRsj7uKGB7dTuUzYSl9Iv
vW26dLkp7S4k5tO09L+ZZXjYlvpre+mNM7JYPGfpl+uJYc209NA1qzXGNsFKm5zEs6HNrtSl5561
gcJ2bC5xkwP9nNr0gcXqdCflhwgsPa1sch1VQbgmdeEmntt8xZTvNCnwd3GhnQeq6iYaEOlzxult
SurIMh+wlklBi2TwkL9OD5Y5Auei4jWvwwXSBAeooEwcyPNbgg+ZQoCIw6vOYCIGfe+2kc6KlZlF
0hfjzbzMMfIGpPXIaKNYZhzOMu3Ajc8PJfMcbeCYMnUDTJgyO1xGJPUyLJlf5yYjyT5rSqHF5BUy
R18xbffvALuVW3JmSsXjxs73ed33EDmZc/imsE+Rjhpq1To+tjR+OD9J4uVuZBc+pCE5eGFuPgVE
R68GxI2e1J2HRJJw5LflF8XJMheo0FXqh/Dm4+mcUka54ZR9CWeDzMqgPZMJyQ4TJYOr13biOnlC
Xlhv7uu+sg6qUUpMcdMd3HC+pizb6iH/49Sc46PREe08DaoDMIcdhLFq1W4xUfSDqp96oxQHosiY
bpFyj6G24XysqT8UghwNzVUblERlnLZXjO1pJrjRzlDRzE1dGdXR1CGRiqKgeh5UMDtzt0Wp9pj2
1rpVRumye20OQBy1VdoHcmPovn3N3HYjMuczLJsrM85uiq577wvt1JSW2q1UUV5PAO73qklIbVDM
O2EQxJa1RvpOiX0f8OFLS0BllFoE6VpXU1g4nhXDgBwnz6RG4DOf7Sm/MrLsEf7aEfPXVRZywkSd
4Z9ym6IRvL+26UIs9tMY7Ksw3ddxv0sqviQ7BGi7OG4F0QArKs+nALH5qjWj89hDFRhztOyi7TPU
npUrzXSPOMKzseRkLNeHIpEMVb6YVsSrJduApt6USQWiv8FupSq3ZTOswzLeW6jnnAEvsmT3HbZG
uOIQfm+nylnVu/dmr9jcpE5h0vM6JrS2+UtZyVssznurQ2dB7K7ZkiaghCR1isSN+/4pNLWtWfce
WgWIfIZ9aZL81i7Uz07CM5ylC/5putUFAQRZVZ4m8nJForsl33EWd4xKZbsKcPT2s4Inxs+e52l6
Nyz3o0ziPREXl7kYz9niOImDvT8WOyI1ICFy+dRQbrJ8vJ5A8KnztM/9JcoJ9zSsPmwnO8tU3KyM
d2YzboShLMCf6Nm0ocyLcieYXiah5SHkOOelQt4OcAeEi8SUdMFFhdcV9cFuVOx1VogrGk62xhEF
gYpXdXQrHhFVV12/lmu8767fIrZIXwq/ux1baAc2cUE0wtGQfzRoORqiVbDweXlbE8Grnmly75rW
3MDeploab/XRWRbt6tpJGaYVg7LN8BI4UJ9WCxmfFcuG+MYvkByuecNt6MjdJrTXps2YN2jCvSan
3TjXHxXZwgm270zMpXaIaKOfbrrscz6VL5WioO2BomFp0QYF9QYW0zoJdC9UwKFq4Q0ZW6ei124h
Jn+RooXsQsgR+vBSUXbC6Xd2IzZKmN7FRnHVIkMBM4EJCLGlaZSeLxDiKd2GR/G6ceyN1JqD5pNH
PJL7VfILG/MGUCDRnlDYn4eu+Mi/ihEEO72p0clZwFWxtsLBRTL61OSNm9viiCx7P4MsK1B3rCAY
bkIk0eRroEZi7EDCrWlt1bb/kHX5Y8sKYkJ1wvTIK4FbuEVb73Ibl/ZI8stsOFukmBhulQ9FHd8W
QlJRjyCTO353jhcQn2G1BnenxRazv8mL9Fhike5Fd5dG1s4e/TMIln2uZ4fel6ewIDY+76JNlk4X
VNsUp3BeBvsmrp0rpsQPpblgepTOVR37vV+jkaibc94YtwzUFXwozV2Hv7kvaQnrGfi4kV6lRoCQ
sCJOj1lJvbyo5uLjlLRHFQdZWYY82YO7EG6aYSl6ckrm/H1dTgep4l1R9fAsfMX/FEwRnvFGH91Z
bQ81Q4cZeGbPwkmI+DOd5/u4zahqB8gDiBwedINDnUUqhm6PKIzPJoCNvK0+kly/h4dw5n0beUqd
bOXQHI0ZmK2E3OXOinwIjabcOFryLgNvt6rGZJto8hIndsx4u4SmMmhIaq2dn5juoIrMiwhH7Rs6
nWAIXDmp6ySNPSMEABuY29gfsdFMn0tBXEsTP7VIhJdtM09Aw7yhtzy0bF4dCkCyVAhJ27kZ8RBr
dmK7Ht5P3yMUipQtauVNRHZ4XuDRZh48roJx3oxZfpza4Fi3xjvmWJw1benmDZDxCBJSOIhDrurc
6/QQ8IBrWexT0Z5mOP9NXT53NpihuHFYMpNSq9OsZQrH33cl7eXr+vF7vgT70u+Wkl8rROSGC0PK
AsX8ozG5HeqapO9cnJWMoUpCatytoDn59UXeig6/XcSU4K/YHmjqD1NN5oHwC3QpzqP9qWYw0T2M
BeN0crZ/Fw7/s4IXGNbfV/pB3lj4xSRnnyup9nWoL8EwyPbmfWHex91jBDbh1x/sp789nibso6g/
mMW9ra9V5iw2wMPg0ovHtjtWwXOePv/6Ej/7RFTLFMtcRkPD8fYSvsnqyZnK8EJMVDxsu2ny0pCm
MthGaKvV9vrXl/vJJ9IlaBV8SxBS2Hu/vdwym1MnpY0u6GJWkYYldEmy/81nQhHz40335iLLn3/n
TGp80Rqmz0ViwAAtWFsnXP//fYzlY353BbSJKB5Z/l2YRZoLU7J45zPX/PVF3kprXm/rNx/jh6+m
TBDW9FkTXUahrULDdaKLzgIIzatBQkVzVrvmN1f82bfDTJx9JkoCA3Xx24+VRHYW5eQvXazqhvRj
eIx76w+jjZeeUUe8j5ES3AwZKT/86nxDEyYYyPiCvNLLTPaJhTuk7//8V4cLzuFSUrPInnv7QYoh
tKwoIs+4Lh9y8yqkUyR5E+PSXYynliHl4N/8+orLPfWP+uLrl/X9FX/4skKcVXUpJ2b/o2DM/wEx
yG9eBvLtt7MggeAV6RJ1MJMAntcfXj5NoYdJOMrsEl/V+3bP4Xli4e8ZN+Gt4eZetLFdsfn1p3p7
yX9/qh8uyVYHH3bZx5fehHRCgIbq8FIodr++ys9/d7CWFE5OwzR++LbMWZpWmynxxa9AvzHmtdvf
/O6W3/6P3w47Oe42yP4Wxvq390OJBI3Nl4gvFq0vYHKqzcdIhzoTx7/5LD/7jX1/pR9ecHTERU0u
R3yRxkto3xj+XTX/5vX280ug94P4wZNk/XCrRTLpbX0Okkuen41uBKaortTO/M2h+rO3Dzfb31f5
4atP6j4k8I6rRMlzKna+Jrxa3xhJ52K7F8k2NX7zHf3rY+FpAEWJxIqjSIK8evsd4U+xyswq0guM
+qp+JByxmm//8Eb74RKM2b5/bed9wC80rNLLMAOeEsF6io3f/Nr+dS+/XmLZ4yLsWgI0314iHsdM
QE9ML036LOY9XIDfXOBftzIXwAgHjctg8EbI9tsL8Oq0BpnP2YU6L+tYxsb7CPhf7ry8/q7+82ar
PJK/mMoWDGX/veRffujbRJYlv+PYlGWkQCkLa/W7Jb/8C22gypHDGfdVdvttIiv5IazXFhwXw9Es
7v7/G8jCjWOzr1tIB5kK4qf+I9LqojX87lXHil9HkoT5UuJkIx/1lff2XWlSFRU7gDAOLxUpuvau
SgZ2BIZ1liRb18sC0RcsvEvGTuTllbPisLW2dH89wXuAPaZksr0bTBk4X3D37WqRa/5TmWSx4g3Y
ksWRaTN6XMlwTHrBLERw0ZM8ytgh6SEeDomPgnfSbMwppLPG8RHPsdZdAgQnk41i16KomVb11FlE
lNRRFe6I/eReTmNDrLTRqo1dFdRwqfKsIcCjGtL6HLAPpFTUpsHyApAZbE5tk41v24kXg/DA7X+3
/teFBG+rX936P91F8DN/3/nWX7RXvHQM9Rv88NsugofCNNCi01qbpsK58fcuQmPhIAko5JnghaXx
kv/71tcWzy+vMAd1iyP5sT8L1HF48t7e++ANKI1YhOEipopd/vy7e7+ZOX47ozOvAy2fr7B0KiWT
J2I+dbxPuBXn1ex37CiFaobp2m59q2CYnrGI7aL4dXiopCe7ixQiW8D+mVYAEXUSOqOgTo8ZqbS5
ygh+JkcUnmrLUO3D0LGWX89KoKNKSSzhlPtGr/HQOD0MuZsutlhVhoLsTMuAvdqN+QdVYUTIzmbX
5uS2NU3fYpVSYN1FaMS6QDQbv1Pexbl6qnMz9ZCOr8nPvc2nZc0uR53YuhLhR3bMK/9KDuP91CDv
w9jlr8oy23blHp4/k6MA2V1kxpGbWJhu0xFEagQmd9X5M/q+cf6QWc5FKnh1UiSIomvgl6D4W1F5
wv3N7EPN5EId23Eddf3Hlgn2Cs0e9APFYH44XeAIk3dj9qZrdg7Glr5qXc2ax3XSMilSEH160+KJ
thXVU4xuWsedREBk95+FPkKYg3zfsYtwM19+HseycDujIQ+0woHFLBD+AEYi4krRZ953BoqNuBqu
mo4CpI961ZsL7Y4k1k1lderGT7DTCORMPr7kPXVyANevuI7V4raqBjw3cHlNdvsj1uAeBYW0sLB2
6Sd9KpFchv261djupAnyf124YAsO5Id4dWmzWSXFfsWOJia8r0iAM1poarT2lGFa3CRpHV8hu9jK
IPjQEU5EJ+iwzZ20CNZKAJ4IOq7utK6s2kNPBAib9vpDULBYmBPjOE3yriWBBtNwT0awxOEV3wZ5
fwUFd51YUbcyzTlCOTCloGWEv6sTP3SV0bkoRmF5dqW9FKlsdpJMS9fIi2tDAnMINXLrtOQ9pfb9
kthUlNVZhGA42SLDQkp5t9ppjJYouyeCGBoP+2hFe1DKrlhb5Jr1Q3o3JsYeVcS0MpepdWjTfk5N
jCZGUcNjWTIh1hxyIcJh+JBzHoLEb4l0Gu6l3rzTG7xeQT1v89A5x43hipilidGy/GdWio5pcDsr
KddVgv+LuCS8jt2dH89Mh2LZMRkN9kGjB7uqBUpjzg/M3B/xSOOBixCk42ir0BBDgNSV7n0fMZGW
iR6tCzM8CFEcFMt5yol7hOhJUJBayDs63Q1exndlo2yFVlwAIWNJjbQ7nKzg3kIFicwIlQcWb2SV
wtWSaDNGKRs4K98inH4CUj3ukFjvur7WF8y+4+YCqLGWYX8jzeEhzslvhKMJ0XOc7aOjTEiuJGM7
Za4Xc/0mG9A9+Gqqe6DRzZUpBoz301lKnQk7OvKirq4Jd4So7IeHOiOG2pTjSxI5t7FOtrIJVIUR
JUiiZp6+DD0MDpLD8jVuNN2lpyJ+smnlFnlUwTQPJ6dPSqUJgQEhMXG3RRmR5zMVhqtjHEyC8ckM
2xxSSp57o+kQsFedpNBfEvYg62JMCeBeZDQGepoZXU2NviYoot00Fw/5q/AGBY61SHFKNDnKIs6x
R4FCrzMZ+qv6PmizYIULH5e7Gp8k6h4c5VtidY7AcxknQ1BJ432IGsgPiXde5EGI264ApJ9NUb4r
FwGRNhHOpyyiImeRF9WL0IhwbMLIkB7FaJDyRYxkLbKklPAQYxEqDYtkKeqHe2cRMXWF4JlehE3I
tR/GReo0onlKFvFTZmMtdkYVPRrKKHV4GRahFFaHyMsnHZp79jBO/Ealw6x8aFXP74v7V5mv1oh7
Vae3CzDyTgn6illjIN8Uz46qP861AniEm4G8xXdlzRc26FJbG2nb8IrI8fZCsO6RPCL2lUhnBsDP
aX/N3umWj8qaOjxDVqXN0uG3Br1QVzMyQIvDfR3ayh6+A8sw3x73+mDcqaUP59SZt3UavWQD03pf
BziFDTrfNUn/XsuL2WW+B5L6K0Hivyrpa5VE7fK/q6Trp/LpJ/0BP/OtSkKxAZwJrS8eO+drlNC3
Kok/YvBFDh1N7jL//A4JaP9FP6FqVEgO8CETW963BoECCoCgw5+AWlIQ7tp/ZBRS3naQdAjsi0AL
SjQDFF7wm95WSXXVZLrRq/O5LGEKAXDjeXcwWpfG9F7G1dYP7Wd9kNXaL7tPSuc/RuaI1WDUj43h
p7y2xfslhEExppMxs48w2M7igmt540ZnEznk5NsXJQ2kG9ENEKmgbMkKOQ2acVVkxdYOnF0Xq2eI
gJjPoey7dYC1CG7TnWnAzGg1+SLM/IjuhcFqrwcny0xKgMgJsLPK8CaVJ4/g122mRXvFGEAZq/Y9
3plLo6Znw2EH1BEbwc6qT1FqTVt/RDw1Gc5NGgd3wZC4sKk49gxEFEFaKHQ+OnF2QXya5658yluu
Mxn9dhY1OGqkysKUu0wkyiYYZb3G7hd6rRMpsA2C8tApQeKpJWSrTrWcdUL6YpQaG6dKP5GUsl7M
kauyb7bYIljKFHq8HbESbiwF8MyQ7AhkxkPROm7VhOtaT+VenYqjpqTRQSJKJloCFlINispPkAMn
BW+twbyrZES4oF23rkAyB9ap1s+kQuzzgXdbMTtgARoj3duWc20mGrKMnKD61n9sAvtdLFggRkLb
6ZP/wjQmx+MysoE3wd0bMYI4YtZXQteJP/Qbgt4z5d1ksxG1RmNPTuC41oPylgzUHbIOyw0JQXSD
uancImp8xh09MVRKEq/KmGiInMp6DqMJ7wyHihEkz7XM2UBWS5KSmNVbp5I2vWLihQYiOOTp4Vq0
Utn0ry60dDGkJWjsyDXEpEbnN7iDsJN9iYNtXKxs/WJqM1Ur3raFkVY7SNmFf2ejWz7A1vociAJf
CzyHw1yGJPOm9b6ugneNQu+rtOpOFyUBUq3pNWFneL0NC7LPi2Nu1ydQM1+KMQcsPA9HZew/lg2m
IKqx+06tUKvjBIQxUX7sG1sBPDZfdfl4lWWK7tZ2jLLVRloOs68djBPVCI+EuG8HqbggWXaxiiTI
DPSz1QTbzkbLEVGXIrApVk7SbGkZrlJChCjE28e59M+9krx3IFTDFfL3gVpRoqFodGNJrmMdF80m
CvMnR0lOYYDFNQ0IkXKcU54S5WBgxhos8Tnyo/eoYSs3EAGxQqryWYvK+x52tiD4eFUjQXvqa8MT
Ujxg/UFD0donbeQkk5OZ3JiJ/sgc+NhI67M1N8fJKK9nSVkQzTqpd8Z5LAr1lNcZBr4q9UrLPGpj
jVkuJr5TDW/7QOlWSTTh8nmXCE+f7GMZYZ3qATWT5wDkvRTvot6C6JykNyjABJVb/VCKlhjuzqfc
AuxjoDAiZGKtDSjiCewSwtzNixyshZpA6gSrTOqWVRo6J9xP6EKSM3MJF87BvlZZ9PYWxq8kmx8d
s283IDldk/mIgTQmFXFANl911Q3z3imjT2iAlJUvJfnOA+75KL5rU+OTU7PQ70aYR3kFL0QgBJeZ
z0NcgFfUwtbLKt6F+PnScdvkiMy/Ls/+G8ktFJv/feKe66c8YHr5Iyxx+alvZy7xRxRSKue39Zqf
x4zh25krOT6XrQkEHNsw9O8xvNpfbD5NBnLIK7+6a/4+czXCHDC0cyZDPuSo/iOXvFz89m8mE5zd
nN6kCiuUgTh5fpg8V6acogGT+wkLAdLoOU3wQCISP4qxUo651SCCFsrUPepxeIj86cEO4OWXVvys
9YYkvJdzjmzzlNy9SlPivVJWpTfGEfcts4ziPqh7c3KRiTYBrjn01SKOTBUvmlY/ERYXvbSd4uOF
zI3FY8ZLIR+BDsIQgZxIWA6hp43qAATVEdrXMTop2lzSFHicGr9zIOlEpYm0z8BoN9b1F2EHcLoS
ynwj8mH/q4A2bEm3uDSTQuPdj0YtWDVTwFSlRgPSQT2cCwoIhVN2uJHafBX2zrJVuCL+dC+DcD9G
/gx3v0Y3yNHnFk3frdVGD2EdmlulFJcYLsZt6dvHtgwBvgSgegKnQS1N7Kb7/9g7s+W4jS2L/kr/
AG5gHl4LqEINLBYHUST1giApEvM8JfD1vZK2deWpO/zuJ0fYokRThcTJs/deW1fmfLvYsGg7gO8B
LQkXMfQXJRdYyWKTvIOJVF/Tbpqw2IGWaw8KuwVj6T5yY7hPC/Weoa60/KkYqhulzdezYXJxA4Ec
N3byRMbHdwbXj/qoxC1BX7tRk1LtY3p2Gyfe6rUL3niEqGOU99QgzLvGJcHotBigOs5FbojevsET
K9glbKLVsQNdq5LLFM8gZ5psJLra7wah1Hf2TGyYNlJWT7QleGO1aXRmqVQ5E+3YTbYGzXFszIce
7hmYD9yHsD92DFwpEZsSbPDabeiPbJ6taGSw0hSGlU2lx73fL0AHfnoUb/5fgwcsUegPbBIYEIi5
M9j+fpjM1GRWc4+Irq4mzQ5Kg/6SLPycZrraf3Vf/Hv+SZXo78+/m2IsX/o/n3/yq347/yQWDLM3
MgJaqWe7HI2/nX9gwZAdmPVUXBef8sJPLnGT/wTPADiBCS32p80sxDCPRa9nSQw/5p1/xgVz5Mfg
vwKsVCUcwHoQyKRqgtrxh4+JmcQVQsKiXSyu0/k+nSadoFCbnzOwxeba31L2+MizRSZ5KMKZmnJF
dpGVAI4txigvotA4Bb+Fw4njs6YllDpCz1QJvZKbAJ9sgFFeR/KwynMNWTmKd/hUL5pELjOZur5t
LV7gaKuA6mzPHFTrdwhYBJVGcE1YaZ/RQIqtayjDzpyH57Uu9/Mn7BnqM+wkY9tKEDR632mVaGhq
Gs8mj8NmhBpdKSN9XZ36nsKTnlf9uysB07VETXe6uC9dMdNdYj7Pi/LYrRCm6T2GEma7GES968pe
lpMCEJd3hDTFgrUW8K155viFUf/BU2zyC/u3btICfHE6y7YU2ogEZZcSmc0m9E3NnyApJb29biBG
ptbc7W1pe4mcoYNzItHb1ieGm4QaI1SDlHLoPkHd2ie0OxVduU+qCTi2qPI9e/QWrJdCsbspmi2v
Dthtqie2ePCLHQQo+iz0qdN8O+0oSInn4TZZWgCwa9HdTrWRsYXGZdFQ+LHRe2piell+nbREu8qK
JWTZ2k/12vGCGmFrmp3pbuqaaOUwJgTlvbrcRl5khZC0l1s+myb+1UwNsnnyE+pjj7BRWPWy9TtH
lpoFszf2xwSPXCg6XjgValEftOhd7OoMii7z8UP3ajekBGf02zyK95qtvE4Df30ELqiMZbG00SAh
btJeqfeAw989paYbjBjQtmr4qIKBO9ATSLTMyoob1+DOp1HtLEHx6dbTgOOahYHXcOqtELnhvRSa
F7K1RRXrlOLGWev4yE8OxSuaqxcXMs1GX1J1H6mYEChdk+czE4ChDXkXEHyENoXy9tosuKRqUqWb
3mLqHFylO81OPZ/ieexCL8GohcvXCBsW7lv+8kziexYde46JST3B8WoaoRQwko26lkaYeU3CqO+a
r2qJDkC6gjm/ZL8IZQyWaGNOYB9mTeG7rOwgq1iQ88zFx477wn5eoR1sE8ywKsROVzC8Mzp/FCgB
excx8rbW2pY4ptMD+13V7mRAu+tU8aVQNAp5VTqNKsjpu7povy4KtbPqGpGJ8Oaa25fwral/VuL2
saAxaBPRg7hNSiBdUwn7PlMdSRTOvmpVTUVxn35bPHIEOt00V8voslxuhg3d5regjN2NZaM8kixp
D95ovyfF9I3RZzfHbkKHjvIxZ4PclafPhpIdC7N4EgCjQ9Z6tk9tsTxEvDM/isMIQ5j+SIqa5HKi
dL9AcLlpteTYEMjaVF19jZfhTbe9x6lQQCh04mZYO/eAf31fr/19v3oPbWJHW3XgEtKO3ZZMQQo2
Il1CQ4egl1VIOS4Wzpk3c+cmd7GKWOLEwEHHwmhPlrrSnMP+fq70fVpTQ+5EF9eYz4ow2mBBRuVJ
YTVa8WEDnEgVoFl56Wvmgsmz8yHbx8aUbhwT5oJoPfNoY/namHZNVJhOYa+3OLPUsdraRntTz8q9
3fdys5qnx7gaeZTrmNqaZXb5lmDYLQrW7kZwJkX1HN+WVJeBvOuV21E+PKsaReDG+EOHxkq2GZnv
UEWVuitI6wau3k8bTpgx7DP63xVLeGFjast2zRJXWtMLThhnCSVwZhv1qRGk5G633pqxKu+sD8bI
NcjN9cAK+QK+7lQa2RXOl3JLPYBOTJl9uUEL8g7gKyhwmDthEUWY2NUaPIotrCCDCZgmUFGiNNVD
3RAc9RnfbVLy1Oozd8iiIpDEgF3guOaUUluYj3PF/6nVUWWVTGzAxkyzQyVjU5bRb7tpQdkiUrPY
4Jgaf3F5/DvqSEDY348698lLP/zFelV+1Y9RRwN6xrQJEwE4/ifm9MeoA4dJzhjYYzDJwDP9IUJ/
mixMvBe8VXkvMwb9WK+SldO5AdpywaqiHv+zUcf6dPj8ftThTgkVh4slWjna9u8nYhwZqtEUmIzU
wsmAVI6gm8356+TYrINa5dJIN2K/pmcSu4LZnR0EUu3WXSF0TsJ9r8f0DF/1C7aKgvK7llWlgfO8
j+mJdY29W4w7e4i2PPX0ePFPVpOykD2AMPzcW2S2U7Krhki2vWhfEoeW3GF8J4uwnT1jSzCKmUdr
zq0w32wTiWrx0o3R1xjG03LcZ0237zzv1JNhA4y6W3X2LKQoNkTKr2y9fnBmmvP0ZPSXzkzDZNVf
CrohuJg/JSpmdSciU9205RJ20BqpIYG8aNr90RIDKhG69aAre8/ATJ9k92BUG18YxkwQTdxWmnwX
AhmYbcls5Js74bPR/dWd10CptGqjlM7FM4rvvNmbcNEZ3NKY1S7B+i9osx9FM4IBqNBUqj475yY3
3DTWwdlMNOIlMOp8R9QLLxIX4MNCu8xQBTHW0wFh/gjHORgB3CfseDaV6x21SSGhaA1n4n7EgMeQ
e9ttShZ+O67KslnKOVRXl3csR4GiV7ciAcxput5zlml3KPIKlS2143OUl/5iG1/WMn0GxhXMBQmu
1KWExkjTKwzAp6xVPwCr2nuolGagp+OyZZCLiYIbt+OQPCYZ33/MGm6zkuHybXrjRrtmrVwZ5hbz
wnud5QelJ+UYs65MiQ0iXdm+SjMtmQEK1yIIW3WVPAH0uBMd297abSp0qzGMY0aNtiI4NSzgYGdO
OL+gviWA/W2GEKwvde0+0svM33vPBg9q9UYtm2foFVdDll51qZceAPe7XNwHOlV0Xt5ev+iI8Qas
yaGh5Le+Rge+gpXtED/A0hP36TUBxuc2a+lFKCQXNO0CYVLeRxvPZp4QgrVi2reaeqPrPamqudzn
WnTq4vHQV83DqExh3VcEVuodvG0onBCw6RacwIzYsyxsoFXBVacnAN3v/aSjP4uQqCQGhArsR2XX
FwTaR2txbup2Hvzcm+7dvNhR796u18N0jpR0t1DlF4vqolnVjT5F+8JaL8poe8EEhk8vBmMzkpgY
62QN9JWdhZ3x6lDKNCLFzaUF7wk/cn7TqrQa36WVyJ/NkbiYOn1Q6gLjrzQcqRvwqOb9q8gQ/wi7
OZkYiVy3mS+3LqFWWYdEa61gjcyyY2Sk6NGtPBEq2FlACxhEgggYgaBy6cnD7hGLBDJxlGe7cjK/
j9Zgks3Lv9fG9NSu49vqzNm27imXiI35ZiGF7rMmQroebGo8ybSSOh8rvTuRiB1OnD3ymtI4vLvb
VmfQGA5WVWY2/NrGth5YS7tumOB2CUeMFDxLbcXc4Ihu3bojYsnWrXB6YG5B9tqb7IeaTWcQt7lW
qnIZ771fvGZepxinUYz1abaqInnihqRPl3xo9nU8aH6TLXhgzNzc0Q4JyYGpSOviuz4Cxjbk4mia
1bjrlE6ErmKfLOCPASYh4r2F/dZyqSBUY7M5z8ynHOO5n0yYMChjtI9GzYc5rwjh8cvZD1n1tyYy
X5Ks04PBzTAFrIjTcJd8I6lVhitSmSod46RsOuETmDsvaMsi9UDUN8oZFuOtEo2n0q2/Ten8AQ7T
nwWGhV4T6iZuLOJthjgmy8FSZ5bETvOS5ix70mgmRMrQZMDqBOA+36t6dh313pWSLaRd9Y9VU/ld
Yusjn8qvlYqzZD3SWkStpdUxsHd3OZdGtHJ1IzEpxalInLOaF2rgifpljtcDV77OF6QV/TbF+MqH
8dp28pXyLS/eqlB7WOwAg3OsNUjFeF7V5eRZIvL5KTR7p4Im1tfqEBrmxNkOMNfxUgdQNKaUKlK+
DHmwWvGj3vVgQsyMimOFyk0392b+8I5udXDaBmWt/iqIWRsgLfAAifpSioaocj1fNe6gb1x3wo6t
ORfihWfIPuyxUD48sJp92e/jcXixvXnZcku6Xwql3a6lRGp4vECsjMzryI1vnKtHCKHHTMFc4ozr
0wjxa8dTZ/IZWOFFq7rid/RV9p73wAG9U5viKi8T6fUy9kZWP0CsDpXUET56xaGdjZvJbe48q35N
edFhGlKvTXU4mRbP3VSZURitWgeeuDvE4HM4dSGysVLJNkmeHzyLDrEprnxMTG3YW0BAiXRf8nS8
YRLZVfrwlZaaPZHWxDdHnQ/gaIptrrLhVTW3DTzwNSE3osR3pqymRGsKK4WIn60nMEf4gZKWLC4Y
3LKN6wxHzEfdprW9o9OLh6KCF7rUvAQ5siAArXGozNqpqDzbx0MZQ5mrihMMpRtbQ+tRelpUhkot
D6vOMD8xO28Wo42AoxgH00xvkjH7qkCo2CmVi16YRhxw1rxfS51Hgnis3k0rkFWjDOxavFV1/GhY
7aWvnLfVNN6Ere6angt/Hj9xqbAxW6WHqGye1NrdG2Z3P7v6ycgw3uh0hKpFQjpwfpHEgNHR3z3K
XlBSb+EVg44f1PvKlIc4xDbO+sT/nDb/HbslrfTvx+67dHrv+vT7X4gs8gt/m7xlIxVsM92U3T5y
Tv6xY0R+sSkXYJGIwoGB4Sf3J4wKFosIKfgNAJxBMPtJY2FQh1LMYv1XSMU/qHX5zPT8PHc7pNfY
MOKutm3Wb3+MliU6ncPTaOCarFvKCa+U4rNsiCVhX3IWmll+8UbdyAMu5ZqsOxzXnYYDz+HBTS30
c7W4jDWFQ3MplINlVcZ5ZE4MZr2vTgC3y/vFAIgzCrO5qtKhfhviYT7q5Zzfm9rcncw68yp/EM57
pKfI56Yb7TSwYPifoVd8S1QWaFAGMCx1c4MpsAhzXZuDtais14mt/odipOud3tvpSBQYxFa1aPRS
u/Q0NnYbCD3TOcKy0ockn9+U5Rh90Vnx3Y3gApN7NbPyuMcCprXrAbUbrn6H6gUMhxqaWOcPHHF6
wmFEK+uSgHt9vbyQwZ5uu45GY2wDnQ63fyUvf03SmkZGK22zByVbLUnyzx3HF7rddpu5M7BKWRMJ
GqxUnA9TSecjy9+A1hrEl+XoDk0bMLokgTp1nnWapAhF2SN6VCmlKWzwqFRKKxWrJa0MI1y0Pjss
CZvtoF7NO25Ck7PXpfBVo4ANWcHWxSarfLaydji4rZtOd2uGcL5wkK2Gn/DBnM+lVyyV8ou+8e+J
YLDs//sT4f6l+p9j/dKSzf0L4YEv/e1MQHigZw7MlHz6f5EQftzGtf9YgGEIwhgkHyhd+nEbx9EE
gIbbsYEP6tfW1N/wNAi5LqDzz9/sn17GjU/H98+HguWS0CDVyj4AMrPzR92B2GsJf2TpLgt8D1zZ
OhZk5PvKzfCUJNUlNe0zz1NybVuQOFfbuqXmkCcuVu+MyLzLO25XaK1MVskBMsQpcWj3NsarnIup
Mq3HooKMXGkBqBN6HkxBoYlxRaF5sTHG8pqTdBfFzlWfKLt6UW7tLHlwluqR27BPJ/e7y96bpw/+
YnXIcd8mxClYQhkHrs1fu4WiX1O9hd51PS5pAML2WjiYxT1bXNmgcCz270xTD1abbngxZ9uim1+9
dDhHrFmHzvhmxEU4DcOximxcVTS/me11lCTXXs32djX9OGmuR+AQRt2eO6E/QqHfJxqE5WXZKHl9
ybTsGqrAdhopEOnXgBv+s5f2N0kynulr9yd26uYMFrWwrzudbaH30Xeevi0ziuNp5DvSkvQSgVtI
bfMxyyYuqdyfrB6v48oiLQvKhkqkprtf+gUfiEgvseXsc2cOtMx+sPpyvy79XekOr5UurhW3uuZY
u5rscg+94wildz+2GJPihntTg/cZU3jkHYzYvHMSh1IYiBiDU7EXLWiuGh1loy3tqY3yF6M277zG
9hOUdpqnnMuoDFexXgZrPB06GAm9o9xlnjhoavTVLJcHqMlbuwKP1ybYsdFyWJ6rre+U7Tl1CwA8
cytuC+iIQZ3aLw6QrrBpuZE01ujHonnUdTbv5SxeK8v2GL+6WG23/eLNK/tOt8v2vDqSw1BjmLmY
6wrAPjPtyggJGeOS0Wb+9kV/sJRaDet25KLJXJrXQ3OswJT4fYsIrBWacRbWOnFD1bC0CNzIHic/
rR9rdqdrOq8bODTWEO+zilUT9jrYHSkug0oHKQdrG8RHgy9+cNUMg/Zs7qOpsoLeXu5Tc2kDrkII
1wZu5nVk7MZVjnwT9w/Y0NRtbiOBZYV+m7rcBNfsY7bAnHmKTmdf9MbeKqDt57KyUTK7/Lrt8znI
UXOwJrxjITqzjH1UeBdm524cICstJkJNQxuIYcfbtKxv9RqzOoSpAC/dAKfZ5jqRSMJDY77GxDI2
KmGFTdO3YwAc6hpViuUN7aqeQhhpMsfSnybMO7nuvseN961a9AcSdu98/8gqtdr7y2IUgdHAUWIn
3ATAzjFE5qB9poYhvegCKG2XKSmPOIK+mmL5GB0VgLB7xFKNXVwZtwBMv6arvvXKor1eornlDo4A
pI+Kfa6L6B44NDccDF5bPZmAXZkGPHWteoIGyE+5Lb8rtYvnS8wdqn5c7bJcHCKlCDMoqr63TmiS
rKaKQVzo03xlI/0qzAlntCj53Dr23rABrziUhMVuR2tiq+/cho13a+hhVOtPQ4vQwzGF0xD/X8xW
crTTpyWmPshTzLc0apneubt44/CqjB3MdV7PIlKDtooeaWhjS4ALcNVHPGy5NEYqum8O3O/WrvmS
zMz+agY8QBAYQLaMngz0MsBxkcPny9hhGmV692Ye0TRfsMbxWILu6vn2jI9S1UU4RbHsGeqQebHn
z2V7SNPV5nubjo3bX0SJ1LGAFXFLg15KleaTicuwehxmd8XAhUclVbhtUyN3lSfq/RwPJ6tKvmgL
Fm36GIIKLhH309kIbKFcpdjuGLDyByDxSANl4wSF02CdT5K82nVzHye+UkcmyK9BZYE0JQcT1jdq
krmpVGjz6opYu1QEb6q+hB056nRWLbeNDK05mihu03pK/72d/NKRIrEgfz+LfHlPXsq/EAXkV/0Y
QxAFMGlh7+KmgaPhZ/+DFAVgGkjGBROHiTXrt0ymSlqTqnVeszIxacm7zm9jiEdPpawyw6+FW1oC
9P7B3YSc/p/8D8wgmvyzPNzfn+7un5NpVYFzoODbuExekvdBZhgPsaVyElcKjT7xVhtAj1pyixBN
40HMi7apS93eapN3HCxYMw3r/V2cLV9cpW7DMSu5A2sp7WV2uc3G5i3WhaZtSETS8WXb9agEhjJ+
7V3G6YX3cWh3dnQFssQ+ZMIJ7FY3cJdN3Zmk34gzV092wtFeYXx+qNE47DE080oHBeEjGOZb1kJ3
EPJvWUXYty3V036cz6Bri2pEUIavDhQPIPmITrF4DUQ8vitX5LssHpW9Bv5rm0mdmWjdd413OYf0
xNE6VKDCbGkPiBuIp4NBbCuPKu0S6XizxVjx7wAr7B3ebfQdQKKTKmfnqKwnpPK5Sg2UWw7LEmTR
Ank0QyYVyKVDV8qNhv4ySCXVlppqPUwWqw04SVbvA/CkB5dOOHj3EtbbLuGa4KvqkGndkZ1L96nc
uspDg5TrIemi2rgHq11vupnmGNSkR6N13mpkYNrEHKa45Ah94MYaoi/xhGI8c4xPDEQdUrKKpGz1
c4+dDZUZt4ATNkX9lM3FkaHiWUhFekGaFlKjHuEqp4jWFonuRqrYGi1xiMUo25XNjwW5FRi9lL5T
HIWbXMrhOrq4iz6eS6F8lpI5l0qxVaSMXkpBfe0pjEFhd22W/6Zeb/OYcNkSpwmMj/ZrLYX5Ukr0
wrWBP6Pa1/zVF58b4XRSh221Ytm2CxomYnO8aeQKWZXLZEBPb6jvTxNb5jKuzF1kaN8buYBO5Cq6
ivRNJJfTceVMO1surFf6OPnjOfFHVU036udmO5VL7sY0DhDMvBCoZAbftOZBYCe+cHib7MgNuSz3
GCe3WtbnwWjjtanYJmFwKH2e/YbQDQv3FGcA4EhaCdCxWHjyjABYKzaTXNVHBBANubyf2eKDg/SI
1YiLwX5fZ8+fsO+3c/egsP8f9QPv1Wg+e/yevTncN1IqsNEM8tJ+dLzygphTwInMliBCX8g14JdS
b6iGJ0cKEDVxagJtjbftHa+j1JoavSGrdnXenHUdKVwpH3oUjbyNr4ayKfcaWkeqLzc62oc5UjhG
uIlPuwAUV+j0Z6jFc4J0YtloNzYQs0PWOle6V16nyCyF1FtcqbzUec5QLdWYOEGXQZxJDyNSjY5k
oyHdFFLDcaWaYyPr4Ax7BGp+0aXekxBeDITUgCzeigGAG9ybUiFSRrqbzRIUsb0KX0FGmu3okWG7
wjXCJLEiNa1Sc2JpB5oKzlyDJBWt3XsrNSp9xb3VevpelfpVIpUsjx8rAC+yV4hcw4z2bkjdCz+4
GeRTZ0MQVD/Anp5MRLI0oTtPSN2sQEDDu/K8IqhFyFl+JzU2LGMKzRzaHUnjZy1idU/+91aXypyG
RGd7YzhIza6t3GiLF+G2Q86LkPWmpD+rnzpf4x5TqfxFTnlbIAUKJ1WOCeJgKlVCdRBHG9lwkl55
2r0tsqhF4dsVntNC6oyrmpxXqTziUReB0hUf8Rp9aWGnI7bqjLFSsRRJ9r1rrEtco2WqUtWUpjm/
kkrnHCvrfkD8BOdNdq5dbxepiypSIc29+F4Y6XaU0ikSqueV085suiPGZu6ykLf9ViquxmyDAbRr
awf7+gk/GlR19aWlfyoUUrGl9fHaHssHHSl3pdkWz1G6NSdzJ4Gl3OVO8Fn3WR8N+5UPEQ0ZNuAA
JOLF0d5oBTxbMWe2kDchxORW695RAM8DIvOKGOVI1blfRh/38zMFNUGUo6wIBOooV+HQ4YOJsdZN
fAhgpHJyNxsnRQ+wpMotFudLg+y9EqzLBw7K1LChkxbOnocbDChiuWag7Ineu3Qe22wdQb3gc7tx
C5PiHbkInnSF0pPutrOo27BxXIWAN194d3b0pSQjVrCl3qrsDS8unbqhQktC2PXdU5pr9xZWJ5/c
zIPmDM8YPCIywS61AqjlG8ZCqOhCQwp3Xw2yd2EHgpnv77XLqBip3Pp7H620CWTaFOCuW6+rPLPI
TrU3vPPOs8l/m6kXGzziTlCjfKNRai4J4/dIxppUp/1usIjIMq+HqBrl5BCis9bYI/2RS7Lzam8K
YkFGK8q4+PGUtX7kUrfmgHVrmhRVPK139RjvF6tNSKK8GgoT+KxU90tN6jJVsm+00L/JnJQhOaZR
lIfMETIKP91rknUKtN05wiQ8UPTHq7gyoVBKNip3wwU1U+svLAtoQC4/cklS5QJ0IclbbHogq6qR
lnSaNh+uQomRCoh1lhsDpQWNGgNpzSWttYmVJ1XyWzu3OnOaQ4U4m1MSJqlpKdDoETTUIffa67oo
6gSWeapiHifnO61oIV6bXH2Oj//u9ExW8n8/R9+nPRGbevzzQk9+3U+TNHgpjdSDzCNaskbsx0LP
gOQAo4QdhVzkS6j0b5M0kUcmZQusF6ZXjx3yj0kaew0xQ5YJUKtUVoWYjP/BJK39eaNn4sl0GJcB
jRDooAv+f36epLVohAHQAWAXnYqMNpkz9j9z2qzmvKesY6R6jCNjVGf1wv+EelKLkuPWTp38QKlZ
/US/T38GryVbQ4wWHpht7i0x9tdzHjXfmyEqQ6eY0qukcAh8xeQ2/MZTZmNTYvW46btyuLRZZj4r
qj3stAiBw0cvK4K1iqrrnOXCd6rG7hZRcNBrmnLU42QOV2bkh8FdrGdwvgheujWehz5x2PpVdbtx
RiXfadZSfzVGddgkRq+/09NRPFlM2PvYYm0GM7l/mZBeYJu6dLt23hw6GbLDmEzN7ZxV22JMh12c
xk0wzZo5XYBKmtNbzU3WPGlQDCDED3U+hhqXBOWdEqosgWEowSpt1FfdxUkYLBwqgxLIx56sfJBY
lhWp0ZmvXQyxNgFPMxEmFs7ZdWiNmZpZCSy8AunJVipesOlYLK/ZpLclpjqPEGQknm16Il4Wjlvq
ugRNRXFiW8dlZKs0zPX6YlgWPh7eRCqmVqx1aYxzNmqm+JVPUkoZybq+RH2yvtupeOqUdlfF6VFx
asjDGs6F2erA3jZzrAEgHZcwpzAdYRO0fV4L1jiDlwPIgnZbIPjE6a4vB8bndqIzGuX10eQddCg8
7cFAht03CsCDRJ2njcVSCwN1b9+7SVMeBoUC60Zt7WvhtWpQ6rVHvdVgQf3r1RKPSeG9Kg68TWZL
4LKivCBOKEE3TOw1FKUX27lo2yEQUcqukqK6w9JEFYZvl6UeXoRvMepmsHpO9iCYna+czMzOPTYQ
phmHAN/qLFd9Tvx+HYVy4sPL/sVBi8riLnpy13J+qLKu2I61SO+VVDQ3yUTLa0V2gyIF05x6KCPE
XyheI6TWC6sPYrbLjh+zjkRnQWS16W0rjKMjZuN2sTsXB2Rta+8N/Ta7NmVv6KHgbti1/MrL+vcs
Nv/PFPl9Xbz8FW1HftVPJzGHLK2vMJ1/FUl+nMT6f3ChAxlj3/FrY9SvJzHSCkWTgHjw1BCGg6X2
4yTmPwGXYqVBPO1zqWH+o5PY5Xf6fabDcWT2x0HI4Rh2pOj780lsckvrcC4sF3eIuxsn41qQao3z
VBemflzmPH9eNBAS7jCp55kP/GZapyTASLh+dbx5uE/UugjXVeP0oOJk6ygD9WgAobYAg68LGeOc
DC26siymOoNip800IUwH4zq4Wwq2xZ777VHoK2VJQzIAQTFy1phqFWYVCVGoLKBdml58K5MkPtZt
sm5MZcgCvVJJtblug4Vx+erprZ/IEyoqnePIE8khqcyniqvQtqvBilOHFRGqVS+5MdZY1ZiMPZtu
xCS1WLnq0sJucNOjPFa6WLLsvVm02bwdqjJo1zWW0sRzIuIIbWLy07w5ZgyaPiCa/KCv3uwPXAJu
Yi1+UvOFMmajY7Svbq26VbdkzJVwsOP1uMajcUwS1dkWRnHSlLY/pAPNRGpCM3deVOZ2ost+b2uT
u8EllR/bErBNVE+3a0e0uCmgDROhXvFeW1tgxjWWF+86Mzh6p4WfjjLyzkpJCxKs1bRLT8yDCt65
ObRJf0Qi+oagLgCfs2hnvZVtNZLvCZVNg6T+JFvMJV1QyIh8RFY+M5XNIsPzghR9+Rmnl8H6SUbs
GWTfkZbYKnMXJM9MEB+qmJ+TzLcN57Z0uDHlQoQ62X09mwfvCnoOexmS/aTGb2qS/mrcU3yOhaSB
AUCaDs88VIBI4gFsOVGzoo2Jb2O7c6ry1EMTsCRWgNTPPVsKnFR4iGQLurkhrn1xoBFUUAkmw7rK
oBQ00AoSiS1YJcDAjuybJcp2K2SDcqV10YZ14JnkHldJP0DqoDLtgd423v/wEeyI/r8VYkKpd6+G
RCh4sBQgM4X0nD+0ErIgogaAkwQvsJ4iIdzmFuwe3bDZo7hr5zOXdcmOW+SVx3aDp4KkxpWG8A7Q
ZMHc1HjgxR3SBlcxta6HfwdjdGZLtZhH/34w/tKlGDaWP8/F8st+nMYcuYjYEkxp6n9I2Bn/wXFi
GfDPoJn9dyhmJ41lwXE0uB4Gu0g2z/9dL/PvVYr94Ae66j9EerDg/ONRDHaNCVvVPf7BtyLjxz+B
z/BTCruF63FTaY1pnvvPUopFgsysDVEv6iqE4PSUl9k3hp9vq7waCu6IQKVwoDqvywTVouEW2dEo
0cpr5SBbmEbTuVbllVORl0/OXK6h8kJqyaupLi+ptK9eK/Lair42+FlUX/pl+K7IB9Hy5u+mvOwm
fMJHef2lF/Ak5IXYoDNQ4YbcqbUV1PLSnAwUfREcKjbO0iGFgT9gGfs6MdOuZb6EhBtfFW7hyTxo
KHvx3nGG62rNsXDK+7rVzs9QHx6KYSn8jCu9YQ1PscsdnxYnN9TkvT/mcrTFcD0gM7EV0FgPOHJP
0MuNgctLhmzIpZbuMtx+96r0mxGOvhW6eixV690cytDAmNbTk2VKp1qnQFvAutZ5A7/a25dq9zRy
LtUCoy+VIk81pjcv4yCoA+wJb9gO3zq9v3Rr+mjhk8t5gwa6oWKds+wbsBzkzHDVlQl9a9mg4NBW
RnpC8/SeSMw1Np/r9dOUp5IHW6RRz2rd8pBpTOmWtPHNqnkjCz5OrVypW0rCgAegKUsIHhDls3dt
XJyJwKlbF4+g3XM3mTH0AMw/ujWuWJWlZrOYHt5WapW7ptJhNs2hK+2HXTqyKiZnHOZO0gWZtCna
UyS2lrQuatzhfWfR9108f41wNxbpeGOr40WlQsxXFK8NO/zdQtfdTYw3UucVtaGNjdKaeSU1joOy
VCx4EboShTxokT/X00nFb0lhjM6v7F4zpbtD4LyZcWbGGRZNW89CE89mOZh7T5b35qv9MBCXUsv4
a4/Lk6FK8fNVx/gpLaCTNIO6uEKrrMWrrDdHqHCPijSOFv38oLDE8PnSgoMfe6khfaaKvmyhzYOx
0uqPkoWtn9bN2Vy8S24iFA+L4I2PgXUU07wV0tPqzCW8mKxzqR5IadLA+joPI8Z5oxMvQ0RpIKmo
KDCkV9bI/5e9M9ttI8u27a8kznsY0TcXOAc4DJIiqb6zZL8EKImOvu/j6+/YkpXphqmqvNSDLlCs
h0LaVojc3M3aa801ZnTXxnN8zG61BqWXLVS1rLU5ATvJusZqMN3hwKWXs1gNiuq5Wi4fA6xDaixN
8zSiT2pCvDt2pOPGrJzmFsLeUBAKsYox6W0Xql/kv6S/tzGYATHXrnVtI40kcsoU/FR1lVv1QhNa
YlKsC1vPPyOi+YZoB4CLpX+rJvmLgxJZ7pOzYhyvVSFRNmopWJgjYoAxLa+Ctt4m2HxjrLe282mj
t07iVs+S5wEZgl0LIMr4Ta2rr77UHvd5c5mglsZNLIYP08wndNSa0w0uIMJ4ZgiRddTGMr30CK+r
pvlWCKxfMvTqHILhNoQMbAm5dp3T9qIKCffQ2+amEV7lNa5RboLSm123pMWX/GCHCryhAXqG5Cic
syEf10Iq7tdtuwymbtMIGbmKntwMhm0kBOaFkJo3ZQ3FRMjPax3/dDDlCD8mtwmG68agiZTwbZEM
QQ8MKVQXWWZULLqcJWGbp0kFmyQfPLJZWoa01xtcS/Kv6dfFO8m5djx9pQ34RZoI+cWZfoUB8Jnv
K+XSb+zkntpz6Hp9dyJB1KR9RCxsI7rDJpboo+vjJdsq0h01eBgyruStjjden23Y0K9GPadtAsUT
xfv2kqQI/EfhyIEG8yiQ0V13tQaGx+TaamebwDN1Ny4T1EndZWjohHZkzr1QQ1IDw3qR+Qk/23XX
hhnZeF63D3UeIecuKrq0MzVwzaiUYP9I3xydDEsTVOERaYLLbMwfTI21XSaA6fTUJsU3kM8jBZGd
yXQizhBo3it2KgTmCKXScTCxtaIHD8QZij/2bKPIZFw95WaJXcpD64R3REy623vZEr8LKJh85TOO
u8rtNdyym0H2lyShGNMuxMtd61cO5QosskllaoCBGKXuFneVy54z0W0i4t/QQDhtWPiHIxNlutkW
JaVIiKlF8qeQJgQqXMJHgIEzak6968s9jT4xuqSG5ibImEZuXER+sRsUHlfr0b0ouiCPROhgttmJ
opnlGZL6U87/YYa16QoP3XWTFLjljGq7iEUyqkyiZF1P5S22XuWcHsQ7CZlMEzZPfZksHS+65bCX
YVeiKuD8X9ehf26F5Y0zxStNgvhmoQNBwZRTzCP/BVwf2C5aqlykxXpS4XMugo/hkEvztMJhsBT3
+TG3rxQvLRfYoaNmmIZsURQpSpek9dZyNW5NicnQBJ26jGP7ZsioANmetAl9fwsDb+7HNBQPUYEU
KefnreICU0uFe5Dsww8yHouIHBFanS+6TM03Ks0LuTU/51A8vCIZVpOvfYtkynhahwxXVSsufEMW
LE0rod3chEIq47KxwIegmSnh6MzKSfli1t2Zo8fhYir4YitgpfNg1Px5ZKGSM6VoK4NLRTgS4F3m
RaS0AX6KHAgKlaNxQk3UagaqJjleRX4zuKGN+AYCFM1PqrBwFNkTGgSfACjRr2L71bJTNNnN066b
53gJ5TF9E6Nk3qVwWWa+7xluWko3QdXfUmWkChBiAN4nJ22tkPdu4df7dU43tB5cNyaaKuho6xbN
DRYrzi0NKxd+0juuVjfUZwsJrROqfleDSjT4eH+rcbaWiJxYkJHsoj9+KDD8HNDu+IwWR0i0KqkA
UkoNdz3MZakwv5mydCNpNodAanWUjGLYJGkwVxP1sRurY4eTHMtX4xFl7VFpo+/JfAW8mJbNkRbp
7mDGd36aoscZKtW1W9ONpHTpew+yTZLfSelU1iFJKm20KYTusGgjkB9hvvZKkJi2HX/xJQNbmz66
Ucjyz4pWurJSmqDUNF/rTn83EHNRl52KWYNB0KJsIEKPBtelNC75OPjPkXCs8G3N9WO7pJxtj/ks
tgDBsu6+kX6g4NxbWJrH2hIh833RsXSDSrlM/KyipqidamZIndqIwFrHxTV9NYZrACYmvBzYp6vs
dNArpD0mDrl28xilEC6VsLkrB5zq0la+BVi9GcbkRoXkO+9rtlRLRphNN5rdY87nNOgS86Q9Kepq
mclgZeQRKZpTyACozGjnCFFgZ6IaG7LdlFaIH5EBgEFdq2p2H6J2xHT5tuiK2K2J8qyYrQ8wMUJJ
h/7zPAl5k611JA/VNzMgpLPy4YuWEvN1EfCXJLpvccnzaLNGoLT17PghatpzXS83adgocz8dlsj1
OCm1coXj09UQKIvB4KLqlfk1dbNVoTv0pEhcvCMa1TWU1/B6Ri1YBHAv0MudVEO+bsNCOJB1iJki
BWaob6nxZZJN5v2IsNE+KyWj4w8MWGDz0TYh9uJ495876MsdlJbjN+6gLXMnzXZ7LqH83OslFMq2
aH0m7acqxksX858pQRkAN95EFpxttNY/FGfI+9F4QToQHyYhchJX1Nd7KH0b/AFdyuC3n8s0/yQl
aD47dfwlt7YNGWCgbNKpJjxKtGez0h/voQpIiFTK0/R8MoINqc2Z3sHRGGDlTlmULzuDQBziy6le
JAQymr6SW+UoLJrzoJXWWRLNUQjSCAwnW1M2fV1s41b/glWWC3vidJiUE9/RV1NgVpA38tENLP9L
PSaXdCzFCzNNgeCZpquDIpmBwS3cSeE2lI4Jfp0xNBk7begQ04Ljts1tTHbTCzuIqdyKbP4Ecg4K
5gMu8EvYrGhB8vOiMoiDnei+V3AOzTNKxwR/cG5p3o0R5Z7Thvtk5jmBBGIXBKkWUXcXK2tav06a
xlprXnpDdL0b9ekUWepD4tU3KE9yYR1/lJvtsWkAl84789zIrU3SQJVyAuNWw05zypuvfWAu8Z2G
DE7Gb9Y79oXuVMcQN3Bljs+iPloWkuKxCHsEQhYaCKWS7pwUyn8+FfA5o5OgAngzFeMxAp9mjSMb
nZAx3OrAxAtcipyvg5Ve0DVzotP7fFaUl3KuLVOOWWr+55bhLFttQPgFliaKaBOvlK2mBOxG0n2n
e3cUA5dmy/XG6XqSoUn6AH79lrQcacQJ8a4yRGcjrS1QJNtLefCIS2Mz/Vzqa3Os7YYUAzlAZFTd
mS8jlO9RaaUG4Kux7bCTxEUN9wxs/ehsbsrsc8vb8EipunHIIa33+ZERCmq6jU0kHYtlx/cQRRIR
h2wn83y0aakbtavQprG09570soDvYpo3em5eSQgFXYgWJ04KNb01rIAGcS7+aECuJCCLRtToJ0ZO
7D2U0Y3tZY82fZeZl16mCJ2irPrsO8hbyQYRGPKhVoWn9GhVPZv8yOC76DqWmg7oK7Q8N8nDeFmE
LQUeoVyPj2Qdh0wVaEXWYrSp0sENuK6Y6yYiW9kq7nP4N45Cc2JgMNplwoUA4Uw/ywalple/GtB/
W4j9Bo5IE0rq6TRWt+UUc5NoibhljsA8lBTadm2cHls0ekmVH8uQnVEAxcvWru9D0zoxdOMKfGjo
WqGTupIyTUdpRoSfQftZOiNnXq6pX4usvLY7vnijxy/FmM4gwj55nQQBvDNQ0dtXLQSzXkP/p3je
2oolECxM+hkkhiU0bHEbJPWj+nE9K3o4QlGJZF2axq2vTZBYUBFwZ+OnG6naNJ00l2NkjyP6fSVJ
w3MY/jiRqelijK8kOncDocn1p60Uj9umM2/8obuJEwUso31BUwayFZ/OBtBNtDWE0mfKgYSyibUI
sHwPnr3fwxJbQ4W0cWsgEqdsueV7HTd6bSzyguRsTIJtroLDVof6NJGl00EGlo2uPVtQU9jmEyTs
ogFQZ6YjX1eI5LG3aCKrCMLVsr9OBYW7rKFHeyTZRWqX9yNo3X3LDOTPv6mC5D0aiTcDYYQqMpGu
yMrsasH91s00JPKwbguQ4LVggwPo2hUFmWqg4Tj/mdAG4IhnPURxE2/lQDDGPWDjQ4bPbir446Cq
SIcIJnkLnFwXlHJuy8AOQsjlXUfAlgAz9+idX+XgzUszhKXF1kh8vSwRdrtUFU6nJjivgRdwSRK0
XHDpfZT2M1/PL0pA6pR+boqJvRLAuuJDWs8nmypIbm3xTKVbK9iofLh5L/jshtzeSrg8uTSBCawU
uaZK8Nzj2vvSAXivGvIIgvjuYzSEIXMrOkigcoGFLwQfvgIU32pSPrfJv7m9oMhDLHogaGeroBMB
zDwb3RG9sthF6/UN4vvPsdrcVSV9B0nc3umCVa+ovUIGQA2OJ0GyD5+Z9hAVZ7lP2ZfuCYBY0XWG
9eskSPherHzpY1q3HVj5xjM034FcpRXmzKnUz5152debybvvyQYG2iVZpRlpvM+EzbchAH5TkPhN
kPxqQfazEJR+OTJ3Chv9QgHgz0WVpS2Y/pKg+1uC858I4n+o63OoSCd1kVx1aOasAW8AyPeLaVSu
qdceB8I9AAH/ndWQ85DLZlM2Z/TSzRqjDWe+hSGLsB9IhBGBCszRNarwTsGjIBFmBaSOkDJJ1akj
jAy6sY2XmjA3mEiRzmpheGDgfNDjgGCQOXVrEzDbTMl9Eipjq4HMHfKdDVb1tM8ahBfE74Z1F+XQ
MKomtND0ltN4ppBtcIOa79ka4Vr4drMIISPk7F8br5mcc0WrgDBMaN68utHXHQ1YCZIre9vqI1Lc
YVDZj7Gk5/CIkBH4y9RQTtXCWLMbbUyPqYNFEo345MGkStc+h1bBDtGVJBRraUVYfabrtb/KAnmn
jfLOG/0HjhzIJ8GAhy2XYdviliXz0XmPlIjyeTwkj0MYk27zgyNVpteS1BDbg2/eB0Pa0aLYRIue
Wlep1FTP1GlpdlLooisHgjtPigfoEYruXdG1vZKkXqUFxTrXCrrowzZVXNrxbxl+TnEl2RVDtOnw
F1kWdA1VNTahdl3PDUr6y2yQY+qScjEPE3oLlLK/zxpIukNybejj3EyM29QpL8YyIhs0xetexz06
TGhUV1JyYsNSaYobK9cf2VwvGkpIbhIwBUKzvFKkaskGB9ZIp5jkKDVcDhVA1KSsMpPapROl5wjo
MEv2ArpZYH8uqqFhPvR+Qs/sBDrMrBfpQE9LYer1LMzV7VSTbUx6pChccGaKbZ4R5N5XVXEyWInF
/VlaKCFwr97+wtFCokq9qsrumJW7slRTnpV9IBTWAkORnPYKR22snIRec4zr5R3atPveiwWty7qr
1eE0H7ja9iHalEgSDiuG/zkdZSC8UrKewk2lV6ckmpZFr5LLCe3LwCg4oyXzFhjd6TRAQcvCh0Q3
NjhPIF/TxhN4O+2KMjAXx8E8TRWQombKRigFR7IRkvUz9FWcqye9PB23laa5vkGNzpzMu6hP0wvN
I3lP1k6aST3UCABs04xmuQLWh0p6Ps1GjBksTB+malUju55XcvRg9cQw9tBeWEWtHTkVIEMwpvVJ
WlbcuLT+OImwhcl9j8KuJx053KmJOb2GxWUk6PlvIJdu0DOlR4Bf1w7RFjXPQoOVNXUOks3/XMde
rmPcgv7+OvYFUMSeqxg/83oVA6vJdYeinuIoaNsMbml/XsUoFaqqTM8pyo1ndvCrTo6rGCo5wOiG
YmuKoGL+dRWjJ5acEqIOm0yeKoR3/0AnR9X915IgkneTex9aPQvq3q8YqqZCE5ao0XCOpE2aFXYz
t7zqplGB0UXqSOIdmB7IbSU5V5s0va5br1oBYG9XLQa3rkLbnI8qA2siXTtDhyKDCE7BnljRTpsQ
XjX4iB4HZffgtH1xk495vSCXPFw4HP9ummaW67RefqPX3Wkl01rYZLR+hgHYD79kF+wz/0rx8Vdp
DVVb+PhPz2tFuU0nwPJJApkocsAaGjhZj/aNX7bVctAjdW52RXiehEPqwnn+igSPTG9vf84mNbwt
uRKcBuqYLTlhWpeAh6ICQ3AeKnTiE8Q5K3gwqPJ6FSVTSizeFzSc431EciSbcGz30a7U6Cb0IqK7
pk1PWvpCYkf60htcZZucvnz4j4jji43c6ovY8uWF6nebuJKO0U9/ZjRPc8yZyCzm6ELQWs+yOPhq
dPp2MEn2531+55fxnaBvYOjto9Dww+tGR5yhJRJJ8Eyx4Br7q3jqypVkpjvNJzk1ZObGrNiqG5Lw
7HpRtGwkA8Cp18ONNCbsZ5IIUUpxnUvemY4EzyZG1QQyVS+0J2+sL+AudSfQemgXbOA3lr19BkEE
ObE3nRk5X2lTDPNy7Glu0B5Urbqb+vhR8gouEgHgwWQ4N7GvnyGFJifrIwfjhFsbKkitBB464Cnn
nCIDjgipTkOPeZIPqb3ILY3CrBJ8KfzpUtd1QFcWsJFhwiA1o8ma+UEZDwisfc4hHWkPsmoa49pq
aDiiA/JY8qgrcXuowEca1HIA++2kmrJRa1PPkcalOUE58JzIQMSfbLqIliCLxk1yjsoJ1FCaYAXs
xxOuAr7wFxgxGrCF40AtvAcqw+jczq6o0WBMUKqE/qPwKghhEy1gOSxl4WNgxhODLLwNpBGXA1/4
HfTC+UBmpmp+cZUIT4Qu1NeDcEnAKU++yYRzgoeFgiK8FEgikKcX/gqqR85WOC5oWC+MlEtD4cUQ
G8ZNhTmDKlwaLOwaLGwbuI0kHO6GSUq1lWcW5g6SjcsDMR+dUcL5oRAeENC8rjvhCuE1xgm2RoXr
CMcIGeuICj3oRsFMohSuEmVOLO43IL61+1rxzqXeXyIrHJZ6H0Klq/CmIHFwVI/U7antz+0yeQjw
sbDzgqXOMimEAEhN068FiiCsxIp1LGEelQi5UCCEQ56QEBHf+xvuIZiM2d5ZV5IyBia+UOF10rvR
Mc87ukg8aG+jQvViLAukSuMEOlvIl4hlOSvrXD8afQ9xk5A5FWV27Avh0ygkUGDRpk0ZKdKRLgRS
eVlcmhJy/AntlCT79xQLtQs1IuRg9wOKFlLNDtBcSVjM+0KEZaLGKq3I/1ajz3IClvGlhWZrelZv
IZhEyfWf8/Pl/HxT3/ilfdjuOT9/VjdyfCLhRvxiKppgNf55fipkJTGmARsDouS5WfJV3YjLoMZh
i3ZG5Z+gRv/x/OQghgzJXz0jq//R+QmO4rfz00I+aeq4+GAQhgrzZ0lN0tDWPuSDfN5E+T2dTtCI
Yw37S6kl8rSVAolen6/ajG7zIfbqZZ6HitvU+qbKDSh2GZVpZp9xUtEiBxcw7mZ1bx51PYZS9lCc
VpPkFp1MS4j9qHQxxfm0R08IQWAy+7Xj2UvuNPK8CHEIqWm2yBzR5dbrt31WrXQMP25K3wcuUBSP
Zm8f521xWyl6Qb0VRpzpl4/JCGkmr6nkQTFeDcUwUKvNg+xS1tDDRLp+IWnmsQdzb9H0MvZ5veTN
JaWihSjhguE1W6v1H73U7pecqfLCH4tyDXwOGkwuXTWJnVw4TaXQ6hlA09dA13qjZc09WA+YjFA1
ybyRLKpeLSpHe6pDk3C8PLMbqMxFEN+HqnbT5E4xlyJ1V8R0K+JKeFt1ZFpY9S0QvRnBwMornSf2
4WwWBTiXOVAiZZTRpsp1wj+OJudGgVkwMyYhF1LlGwwTsMziS2gCnF2AwGau2hjbsa0HmA71PZr2
mFuuADkYEPd0+YIGImUeeOFl6FDDlNLe7jfjKFcuvd3f5IqT3szOOE+PuzH311pUX7WmQycSRRI6
3ymYWWYyi+iM5HBMQOAgNy8lqYUhSWMx4hqMFeKVnVfpAjcc+9xRi/EoyWxAPGa0VrLSOfXraqeW
+ObANPYvJSF+mEIDO7EOUMKofkvQDtITYyKaDCLVOeNCB3c2q2II2IY/bwxSelmSFRsfZEdA9heE
ln3eI6FyQf6CnhsRr8Q6t3sl37SVeoaoOyPBPpFyC3Wydi3WaoohHUUDhUBqsl/NIvgcxxgtVi0d
lGpA9l4NGDefwU3I46PqQMIbjiT88gesJo9aFMcbVCmXil18I/2+aAPaO8vBdrPYrFwZGMnaTMp1
YaaboTEWuq+dj0p8rmvt4DoJZUI5j+7k3rs1Uqle0QuUu4Fk3VaNb/C21ROvUIk5bFLNdLqJJn/5
Kh2bjczhVcbRVRj6C7NNvvRy9YBaOHeVGMLFSM3YruJ2Xpk9gYycUYpncA1d2tBEqx+ZMlq31hlj
aqHWiVwqj7Y6afO6Ge8KTaWRRCmWRS0S9A0c6HHo1jFga8hv8lmf9A8BYw08ucCdxgzLWa4W91pW
nDpEwqadLyO6OGY28ItG7pdWJfQ2SV+6iEFz5K7t8YDKiq7fBDuq0XgSPkF9CQ82taOT0qMGGxYp
MlVVPYqC+qsdlccE1bdKPH1WpPqS90fwphszp3dAt2SgK9R27k9dj+9gfGqXA9KSSb6qHe3r2DgF
DrpB4oYwADckTqU1+RoqwAgduri81mkHCYr4yjYzwy1SFBszXfPqtWfxlKkKjFXKHbbyKH1EGlft
NMXET+bib9Oh45IPQVacW7Gb5kzi0U4Q1PgWrdiEtdC9k7kXJKi9/OESjDiuOob8COs2+v+GjfC9
1WG+bbaLDGnGeNnuqvFqV6PNqV+vcOJvL3IETTf5/9s/evtB371xbsZi99//tX1Kw2we1k0VPjY/
HsIo5Tkvf7r0Pr+n5zf81iOSLZ+rfeLZmvWJ+yv7hgLoTbxQooJk97//taQIH2DFUtG8KtjL8fox
XHprFN7+gC/D+fa/+ftPQI/Y7vmrWT/993+9ICeUX6ux/85I8JwfhsL4BG9K5xJv/u1QQGp0iG1e
UFs/TJS/mwpvf8B3HwT55Y09Dv/H3+V/fjn/Yjr8PAiYO6OG5pL+8m2L7/un+QAfDLMtAjLjZZSY
L0zAjzcUyq8Ikn88H2h0FJGsrquEij+Pgf5JIcSVbToXn18fcgz018V6yHSwPtGCw+ckSn9+McF+
Hgr1E/7h5MWYRR9yHsi/pgX/8TwQbVYse4fGrJcx4Gbz6xgQD9mIj/ibjzkIL2/skIlgfrIQoxgk
xl4G4dd9gXPCsgEU2MrLgH+8HUF0zv3js/LnzRETJdLACi6re6YAl0QLQ9cPOgW0wz+9BclR3J5p
Ff/bvUC1FR158AcdBIFxOnAK6J9kQ1U1W/8+CL9uBrgTqmTpdUs0Zr7EUx9ySxCOhgcPhYIZETka
ki3iRQT2074IRBjZGJYeL1Pv4+0IItt04BhYn6CKISsnufX8+nU6YBCNQo+cl/NRzwZRsjpwEIQe
0TGxl3uZ8r9NBAbBopVOZ/t4/l0fbyZgB3roIFggcE36CHFO3D8TgNPRp8K+gKSS10fdI4Wa9MD5
YAp4OJQ9GrqeX79uDJRaTaYDCd+Pelqqh+8M+L+z83FR+n6x3jMI1JIpGqsv8+WjbpLa4UsDhAE4
RkJkLC3F67dLhIKjpfgft2/x+qhLQzs8x2B+ou3TUOjyeRkKvvWfzkyWhi5Tald0QkyW4cfbKrXD
94fn4wC1sagR/fTpiRgUgJ+EFN+H56OOwcuXc8h9yuK6JPrEAYi+vH4ZCs5MXZVpCvgeuH+8iSDY
6wceFPhPYEVDcPT3l0q6tDQsu2lmEK8POh++X3gOmw/i0uCQVHr5pL8uDTYG5oqiI+L+qINw+EFh
imha0WXRuyJevw0CWDKYu9SZP+ruqL+E+YfNBPosyCSY369VDOtPmyQzAVUzd0yBcvuQR4R+ePRE
X5SmqqoCaG7/TCCE5BzF7vqjzgTB7Dh4e1Rtbthgn/YPAjk3FaCUbMr/YCb8GwfJn1UuDBOSp+f6
FqDbfWWwv/sHr3WP3//+h8LNc/nqp38p6l0vv/ylvCP++39+Kn+pzxHRD3/7GiE9/6bvP//9I/7+
y3/6Za+f6/UPV+Gu2laPVLOfS0vf3+jZNqVM9r8J//e0/bXs9JJi/+vd/FKr+3FDfPvpAFh2vz4c
NaoAoj+/mT2FwH/74en2Ka9eH/RXwUxE2Qc/fNY2zb43zps7+NnuNtliY7WtX5/1w3snED/8+TRo
1r99pYw6C/cdHp411fYPN99rfyuKEgf/ivku+eMsr/aOP5viwc9fJH/M84rJ8/qsH8afG9zBz19W
wLP3PZzN7OCHHyW7bI/TkagBHPzsVZs+5MlT8/qov8ZFFB0Pfvw6LXZVuE1eH/XD499jya7hdex5
9Hus2ONdtWfMRWX+4EE5DjN/z0agvMdaPdnGe/YwUcc6+G2fbOt6t29M3mOBnuT1H/+b+btkt29k
3mOJnm6f2IBfx+GHifgeS/R0C6Ztz7PfY4mKZ9OHt+etq++xRE932VP+GO7bvdT3WKOnu+px9/T7
2Ig09cFz8jTnvb8+56/vVH2PZXqa7x2T91ilPLrZVbtxzzt/j5V6ti32zZb3WKdnu277e+wI0fU9
luh5tWUL2DMo77FEL5Lt425P7CjS4wfPwwtaB/cFd9p7rNB/5YB6aFR9vX2suBJkzZ6zVGTMDx4d
Ydg42wnf0deH/bVURR76nX5BlW2rp70bmSgQv8svmYc7f9+HeI9VK0ZpyQp4DOvHfb/jPZbvv7bO
PHwyZX+ctGH9x/lDWBf7Psd7LGbxOU63zW7f899jPfP8ZvvHbFs9bPfFDCJd/B7zid/hJvt/w3sc
vS+fAiX89Pp2/1p3+rss7GC7906ov8uiJoexd/DfZTG/7Tdx8Cp4C6F++MOzfJ/nnFA/HD4rmy0d
g8m2rV8f9sOceZelK9Ise85hkWg9+N2/acd36Li/jWI++OktO8Ge4Eeo8A4fl7cJXoe+98+8wXbf
WhWJ44Pf/Bv97oe+8TdaAd9+9L607J8V7t+Tta/q+H0/9nMuWvyLx2S3rf7n/wIAAP//</cx:binary>
              </cx:geoCache>
            </cx:geography>
          </cx:layoutPr>
          <cx:valueColors>
            <cx:minColor>
              <a:schemeClr val="accent4">
                <a:lumMod val="40000"/>
                <a:lumOff val="60000"/>
              </a:schemeClr>
            </cx:minColor>
            <cx:maxColor>
              <a:schemeClr val="accent4">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CE4593EC-0057-4D55-ADE8-0EBE93D5B53E}">
          <cx:tx>
            <cx:txData>
              <cx:f>_xlchart.v5.6</cx:f>
              <cx:v>Amount</cx:v>
            </cx:txData>
          </cx:tx>
          <cx:spPr>
            <a:ln>
              <a:solidFill>
                <a:schemeClr val="tx1"/>
              </a:solidFill>
            </a:ln>
          </cx:spPr>
          <cx:dataId val="0"/>
          <cx:layoutPr>
            <cx:geography cultureLanguage="en-US" cultureRegion="US" attribution="Powered by Bing">
              <cx:geoCache provider="{E9337A44-BEBE-4D9F-B70C-5C5E7DAFC167}">
                <cx:binary>5Hxrb9w6su1fCfL5yFskJZEczB5gKPXLb8d5fxE6tiNKlCiJpJ6//lbHzt5228k4wAS4x8cOHNhq
UiUusrhqVVH/vBr/cVXebM2rsSq1/cfV+Odr6Vzzjz/+sFfyptragyq/MrWtv7qDq7r6o/76Nb+6
+ePabIdcZ39gHwV/XMmtcTfj63/9E3rLburj+mrr8lpfdDdmenNju9LZn1x78tKr7XWV6yS3zuRX
Dv35Ot6W+dfa6Hz7+uE1/OfrRfkqqc32un4V15120+tXN9rlbno7NTd/vn7QE3796o/9Gz4y7lUJ
9rvuGhoTdkAxj0JM+N3X61dlrbO7yx7C/gHlHAUsjPzdF/p+89NtBe1/ybRvhm2vr82NtfCQ3/5/
qosHTwRD8+/nDMnVbmh2eGQAzZ+v3+nc3Vy/unRbd2Nfv8pt/W3szBTXu+d+d/ltoP54iOi//rn3
Bxi6vb/cA31/nP/TpYe4/gfM3wPEndn+BsSDA8x8RnwCuO6+2B7iiB9gTpAf+XDldqLdYv0LJj2N
9H4Hz8B5v8kLQ/nfJayi69+BMj1gfsAwi+4WNt1DGeMDTHFAI/AY90H+BYueBnm/g2eAvN/khYF8
Umt3Y26m37CWo4OIRpQSn35zzj7ZRxkdRGEURGQf5l+x6WmcH/XwDKAftXlhSMeA9Defbd3vWNPs
wEeMc/Ijzw1rGhHYqSna89y/atfTiD/ZyzNQf7LdC0N+Vd5o/RsWOD8IsR8ijqP9lQ1Yc4YoCfcc
+LMteRrkh82fge7DBi8M1sta19XvWcoB4RGn+EeOGx9QBJ47YMHD/fn5Fj2N7177ZwC81+KFIXxc
21f/1tlNeWN/w/INDvwQY8KC8Adcmx3ggJCAott5sBdd/aJxTyP+VCfPgP2pZi8M+8uthn1abM2X
7W+KtALss4hydIs+3/PhEGlFnJEAkej2A3tL/VfNexr/p5/yGTPg6YYvbA4sQYzQv0NYiQ4oQVEY
oh+DT1kI3yh8CPvzLXoa7732zwB6r8ULQ3jdVV/q8tr99917ANoYi1AQPGZnwQGKEPEhAH9qZf+K
SU+D/KiHZ8D8qM0LA/roxvwOCh4eEEoCPwxuBdCdAvpAIQUvvgvLEMGgsdyXUp5rz9MIP2j9DHQf
fP6FIXuyNfnvgJYecBqENPTvRLJ9KRQC6pCg3Q6+F1A/26CnsX3Y/BngPmzw0tC9MVcg1cf/9dwG
PSB+xCMW3TnhR/D6BwFDHMh38FRu4+TZdv0A5YftnwPzwxYvDOfzcnt1Y34DzuyAcSDZAeM/VEF9
GkBKA//Fw+/76efb9TTOe+2fgfNeixeG82XnQO/+DThzkDcxxgjfUepH6xnUbhwCH+Oglt1H+PkW
PY3wXvtnILzX4qUhvL0ykLjS7ncETuwgpBEHHdu/Xa2PMlfoIOC7byBlu689zeTyl2z7Ad6P+3gO
5o9bvTjc9StxA5n134F7dMBCWL2Y3Gll+2oJBtx97EO8tb+6t79i1Y8Qf9THsxB/1OpFIm701lzn
v0UmgUAZihEQI+TpvRtRqEYIfNjf91z6N9B/xbCfAf+on2eD/6jlC5wASX6T/Y4V/y3HQUOO9zdy
AB1FhMGsuPMFj7F/tk0/hv1hF89E/GGjFwj20mz1VW6v6u9j/t+oMqMglPk+ZewuEnvk2/EBSOUo
ZOSJZf6XRc+hlD+G+3E3z4T8ccMXCPsJ1Mn9jjVOIcQOKOXfV/IjNgd1SJgh4HOPeJx+9Wyjfoz6
wy6eifjDRi8P7V11Svl7cl6guUA6k4P0fcve9107sDjwAigIg720x2226dlm/RDxR8/2PMwfNXuZ
qJtufo4X/cUi4mino6LAR3d5zEeg4wMfM9gBHgXm31Kc8TOt+inm9/t4PuT3W700xN1W57bcdr+j
sIEeRIEPxUfRHW2HIqQHSRFY5r6/K22gMBceSDG/ZNUPEH/cx3MQf9zqfwHiPzfxwWPvKsr//X20
n2Btv3o0ACIvSHpFUL1wG5o9kfiKEFQwoeBOj/t+79ty8fsnGm5nwFM2PY3w/bYPnvH2EX8+KL+n
1v/H5wD+Ol+RbN128e1kxr2jAD+/+u3x4UzJXtO7JfPEgP1V7be5/vM18n0S+gFwqr8Ofew6erjg
vpWwfYfmYaubrXV/voZDHvgANm3IhDEoHg1AXn39ari5u0QgBUYIizDxg4hR2LV1bZz8dnQEBBsQ
3aF6KSBhuDPD1t3dJXAOGPoKIsiA+1B9/P1Bz+tyymr916jc/f5Kd9V5nWtn/3wNOZnXr5rbz+3s
ZaHvByAABHBugTLCKIYy5+Zq+wZO6MDH0f8o3ZSN8gv/DMQjI5chm01MSNRdmaJb9IEahV+lau2l
TscF4u9T10uRGtkmYUi/uKq8pNXABfZxAtq1L9Im/9J5/sb27bHyiiw2oSlE3vZJGvVuqQj6PNAx
W1k82KOqbTdtn8Vkzs+I8zaV5CdWTQIZy+MuLdq4n+ZaUMvWOi8W8+AllLjEDREcSfHmcxV1aVzm
wxtM3CeeUy8Olb6YlIdE3XhvPZmbOO0LK9o8X2ZpdFQWH8t8+jxkfieKsHhjTeEL09oYVeFR5bfl
opj1aqprfOI3wZnM50DAOaajOWxOe90dMZteN3w4ynH0GU+RugjGto8znZ4MgZMiw96nwYQLyzDa
mqmexKBYMlvzPsf+dUYLKYaGtHFUlu9G6l13YQ8PUvK1UuxkKjO5QPAMqa9O8rnZ2qK2yz5V+WKY
XBVL3IYrHaabdJStMKx6NzXpme2Gz1XkaqEoPh5Zu3KBqgWvKi16hpbMZqs2Dc8UbogIh3ndDciP
p5m/LyK+7IbwZOjlynesjy0rLnTlB3Gvx2Nm5+PBMn8xpM3HXIYk7nFbiJar962dqFDKfQzn4WiI
WiOcrb7WzJxgRLJjqbJTLgOZaBctBtu5GDm8tik3wrbZW1yajd/IPGbU8cMh6poFjuS1zuhllk6r
Tg3joqqrw6nGSHTEuxmD5miO9DIq3Af421rXoRFBz9iixrkVsnDn2hblMR+rt9FxjVQpOK2SCNZT
IkkqE9rZrxVq1wU1q6hvZQyHg7IlfPAEde2iqbtK+KrvRe/ZS9SbVRGqT8GEVjzrMtGw8MgWlMeu
roNE6+qiK+S0bK1aBm4u4zntF5OkjYCaVBar2Zw0vLSiqFK3wBNZ4aw+UmGwLHk3C8XNRaCGw0K6
IpZmOjUcxj5Ij9wcOuGxnE5XXVabD1I7ksiMV0xEtaZvcANCXyaYqbwLv+HtGztlVblCY750xF8q
T0aiw+lXlY03acj9WNZlrP2WHlI9vreR+eJU14qmri9oxleeVBeoKTeMVWEMBXRJM9K4ILRP8tI3
Sxa6U0TKAB6uWbSUeoKMxbp2Y7CQaTAIXtI5LnpbxU1eJa4elySatmOEk3YcP7OULXw+vQOgpWCF
t5ly71i3ciWVt9G8FpFCcVaUCffSdVFNS8V0JkbWiCmYD0njPqDWJDKcsgRX47KvWCZIXhzTvFWx
U1jwka4GHomqqQCQ984Uq2nslh0b4r7qNrmXZkJpmkyVTWTOP1ZFoYQ18rhvOErmNufLsYo6MSu9
5q1/Shy/skMAi2CKp5E2CxXwhDTTSdAVm8GQRlTYN0d4GADbUKRet+6suepMf1aMLLFF8NbPs0rw
yRzPikYiCPUiULAKfSZFOyK+RMq/DLv0po0szM6+2jiesdjSfo0yOsZeG64DUp2n/twfySYXRR4y
wfI+lkF3MlB9NHpai0qVcZCxTyXphIvYutOBMJO/4rQ7z6P+g4+bTRqMy6j36UIVJfi/UXuiieo3
pOMuzmdzFviZmLJiXYIDbPL+NI3mt21dixa7ixR3h6btRdSGvRj5lMwzXkaRWRAPbera9omt9Qxe
mCx56I58PS+ZDvqYT55oG/9LmVosHO4+k5yV8YBDskE0O0d6Ek2WXaCZHXM29fE8e/kymodDP1Ix
rQcZqyYrFpWX8w3Jwm7F5XhOSm+pyukcc/aV4HmpqyaxkVtYw7xlnrc6Hjx3Nrnm3FH2bsw7GVdh
2MVjFfLFWODyoyLplGRN/7Ww3ZEc/fdlpzeFq48lt73oTP6mm3GCc/M1zKZF16HmVI7jsi3mdwrh
WYS9eg8eeGF1eGG8tBaZzz95kfkwtuPRUMlG2K6iMWlY7JA8wiqL5RieZUN2FDgHbjyYNmnLCy1Q
2k7BOrJWve9Lb1AJ8jRaerMbYjayRennGxyqQjRDNSdjLa+DnnTJ1NdjYg3a8nk+Q6YiC6ALWZJh
tBzNXIiUtF+p61XMnTpxOQV3OY06kXX+oS7weV3hN4HSg+jrQIzSXoUMJ87nh9Sbzmw0bmYM/stQ
1Akd6nfj5L1vxvptmWMlBk2SpsyRYNNw1qtojoOZXc66IUnZFd2FcUW+CEtarAPtpyJK+2qMK0R6
eXSPTz3BT3bVfvfoSehDvhKF1MdRCIq1j3cc6T49sS3oHRMn/AxdVuJjuOzP23gWVcy3b9/Yk/ow
X9SxW+fH4WpI5LpeysMwWxcncvXNjjvieWfILXG6qpvJ5Jm8O3j816//eltX8O/bodW//7g7t/z3
b6ubekfQ7f6Hdvf561Nwm7v77gjlg18eMdzv1G6Pw96ejP7BxR8T3PtMNQT5/x4Wj7jt/TDhNsTY
8cXbVt+5LYIM064AH0goDqHe9j63DSCjCOQSQlkGYc5OgbzjtgEIFghqO+EMJcQ2GDGIYr9z211N
GHQIgjZjEN5y9CvcFj2ktjB3eAT1DFCjBIf4SIB3qtj9ueNmUjdt142neiB80Q8pLNmaFFTFig79
ReSF02Ex9lotfF+5T64O+ncqsGMrLNfth3uj98RMRkDZH85kDmPBMaVQEQWnR6OdtfeIdqCnRnHZ
9ae41eg0U7NORUfrSMZj72ou+iHoPtG+8XJhKubauC2MykQ6WxrEUKSjrznw6zPoQ3YJLkv0bg49
hlZTFKY3aPLQuPy5xRiOwzyyGM5AMo45LEGG/T2LcyoB28mdkjHMsiQa5/JdH0DV/dLRqQ5FP42o
SHKaMjHTaMrFpHyyqnozocT0tbuWo7Uozr0mTCyc+u+Fq6TfC2pClS2yupDnquOHleXSJnCIg7+3
sj1S5RCOi9x60UluZF/druTbw+ZP4PAYBihX8ikAEcHcIN8e+h4MdPKywWtKe6pdyt/XGUNYBArD
1Gh0N54Po+GXTYrKjz8fzN1c+zvMCn0ohIOjg5RwiPV2P3Zm3btt6I9Z0NhMn2o2o1OkZHeqrYlz
lsr3P78TLJ9Hd+KQzKcB1E9z+i3gu3enRgfT3BpZn7LGD7btUJtylTo2YaEaufDbrpxj4k+sBsYX
DtV/mjS7SfHwQWGiYAheCegb4B32pjkcqM1lpqv8lLYq3FZFF25VubMhnCu7iAxwjckH6FdD2Q5Y
tKqmN67kdjPwKTgeI2L8mAxFreKC6uodMQ0GKsym6abx+ibxvRn23JDXgVmHJJo78fPR250Q2Lcf
thyIVCIOR7hpAD7tPlB+1IU6DFMPgoO02ubG2UwgTzngWmSadHY4yFx9yRhvjse5lcuoDsY8xqin
Xx2d5zqeZEbjoC76m9wQet2HjaSHPzcyCB+BTAICk2inCUN+J6R7UXtkWO4b6chJEbRNylniuJxX
oxsJX7q+62Iztv5FX01hJ6SUNDZIQ8htmlUZNDhWZVu9acqwGgUth+zDUFT1ZrLOiSZsm3eRhag1
bXUad3VR5CJ3pBhEWlh9OjSePWu9mSyyDPFCeHOqqxj3slqHkSvf4CI7zyZNRlF2tD11afvW4coj
SdRjGMh8wuAbgm6ehT+w4riUIfuU+l1wKCOGjuds7Hk8+DKoICye8o3HzFSJYWJzgobQS+ZivGps
6y4736MQTFeOLlPbdpsgxfhtK9GgVin1UC5mqdIvkEsxvch1630GqlYlTWPxRtW62aCWl9d530Sw
7kmlLnOejlT0bZAdmtR08QTjsEIB5mftUI2LYDDtEqER9YsSzghncT9kDNQJLNNFZYlJuoafydTL
/ASh2q1hq8EDRGBFJJij5cex8oEhGt5chsSFq44XHl7aqJq3LKrNwvpjMS97xbKlN47+Ftty+Gqz
pgnjGTug6jrDfbYcXVHD4hiGxZT1HVuaGsLb0pFqreGjAjYgU8NAVz0VhS0KL6bpQAWtw3EWgSvT
GDQWXa1MpBZZ0E3+xUBQAC9SMX4pCphJbkncwO1qJHQ8jtQ8l+lFN7SuqsSUl5M21zKVGM+f7OCN
tJKCG3Dl9RWeqsIRIzrXdY1/6pSr1HjI83Ze9bxz6aYyed4IIOX1pU89sikmQrq4AwxSMbU+HwGu
irFEpynsh65UQ7uIFKg0sSkdSs9k60e0XquJDjKZxpK748g6AjNqSGtkh7iDvXAZebJIz3pYOlEW
t6yBwBERZaulLnPDRdnC5pUuxj6PYi8FaTYUU+rrIK5tWoG8wrshXQ4lLauFTYEVLEOdVXPM5hA8
psYq6OJKGq8UPUTf9tzmXlUt6ixnX72up7mf+DV2qzxgHTsNIQhNDzWhjoZFrEfbztPa+uDd5KLJ
JK0Wqe3ndsmN1flyKqNqWvvWVk0c4qnMYzqGU7kyeZt7McCKP3hNNaMEhDkF0oaqfO+sLHzPwpBr
/aGoKl5tiOGuXCjpojdz5whZFh7oJUdykJZqQSWWbpWavtGXsBmTwyKbsVp2DViwqF2ZzQuGxpnH
rJia4aRiE0xtD5aKSVKEIDAEmbJMspRkXUJ1D3Dm1AI/0XNB5ptSwZHchIEBVUKmSrYb5OfBOsup
imKsVEuSvM7TZO5SFQpvMA0/L9KhCGKSQ8AFsXwxe0d+WgZL1KRZCOZyiMTRJOd6I3M0ZAvFAzmI
3ecE4jnXMH0ykNLGIfdm4cbc+2w0KG6eyGEd4VM063zOBesDj7ydygF3p1HDpzrRvHUnYadhS8os
VdCAV6DSLtNcIv1pRqWWh+1UlePSDuGcHyGXubdBgcNtOKZVKhiCybvs9EjJwkZzDsZ3qKiSkrTK
xmxIFznK20/lMACzKLKiv7RhNHxpjCTrng5ZumAq9LHQLIV+wrIuxqU2PTqdx4YEF9aF6C1yHnxi
iDy7iy0nOi56XBX52owYDxtNM4vPco/y96Dx7CZnUbR2RUsr7fk4BY7FfjsANnLQYFhtwekewQ7G
3xPmw+yuwEuaBKr3x3rjLE/xeWE6pd5gpnmwGYNi6E7c6HbkU07jeai8aFzUQwW3rut5Bm0AV25e
+YruHn5n+gD+CexqKnQK4gc8RdeGMFRS1WqOueph6TRlpvILbSgsedMBK8jgGvhU7LQ8ayHIM1qQ
RvoA92DG7qTyZGNF7nftuBzhHR1kMfUt3jkNWEwxPBE4kJGjHU92unqfwluYDlmf56CbyFDBvJiy
aAtxLJgxmmJ6Q9zo26MMaG5xVDdaFZcMdouV1T46bXnWfoICyagVIFzm+LBmGe+OUllnfTIZ2g5A
cEHMazAMa+zTdrpSpQrPx8769br1p159GKIqs+sq9aqvoK7ufEjeljKBOICRRY4naZdNVPEPnp9W
y2poslbQANzcZAb5Jq+dPeKVKsIkxAaDaF5CTkD0EvP3pvD6bFFiDctk9lLCN4GuUXtTgUOeDuE1
BrA2hp3HXhShByM69nO/gE1maI+Q6XAUp7x0Pey0pPeBerfFZ8N7/tabgKYfztwZdO2snqyoEKL9
Jh8wdDVWSELQP2RRtmkAliH2FI+Wc9337mScaHkJ+l8rGLXroBr7cD0PEYCjfGTnVVOquj7R0Rgc
e84P6oVsddUfZdPQyJiFtpJvgYnYa59rcCPgOkGOUdIOVvChZy3sAlN7WWYtyj+ieiasFzMwsOld
44jHoTObmoWknsoOvbQZvsjM9/q4pDZSm5z76GK0XjqvTNfafJHPHUzSHLuCnI+qnMPTKmrKEvSq
3o9OAiSDMZ6A3djFIBtAbWA6z4SZaQW+w9pygUYymqQvMTOrmbUw+1UwZqAuppNv47SxUfthCCf0
tpAG5hrsdPw9zPXKnmuuEThY3PBiySoZDWLsPmHWDQyBfN7TdyHW7ZAMYeaCkyAtWf+mTS03sLnD
jF40OQE0IXCYxuOcOFUfU9NIco5Hv4wgB1BzeK5x9LITZbxmSCqbgs8ANta5k7JMwX7DVba0kimZ
DKPvb6Y2gHU/RRHNRZBKevKNlf63NZKT7y+F2xdJ7msk//r/XEl5IlVIIJL4SaoQamq/1Tfe12Bu
c4y7hn8pKtGBz6Bqd/dmEkjIIbjP92whFG6GPGScgM4Cr57aFXZ+zxZCHhE+vpMWoK4/8jkE8vcV
lYDAGTxIZbIQXnvxS4oK2ZcE4LQmxB1QUQzpRw4vVthdvxdc5kUhrQTGeQIn+yoJ2bYWdse4i0J1
WOXg1XCM+pkC5w78Bo+J1NN82dVpkkmdHZOuoFslNdDQNs789nNBS4TOB2SbTBT91IDw0mt+VtVu
PsxIV+ab1k34LZwO9cINsr6BvZqD6lulJD1UU+RDjkWpAl3mlJeQpMvm0l5xnUXDCcj2JrxoIEnS
R7q8Sfs2T2qdd2XcAUErVn7B0JK3oLG/ce3kNkGJrSdmiBrmRepP3ec5oJ0StJX+Ee54emTatuCx
1oNcyJG3sWmNW3T+lB+FDgLXNJ0bSCnylEPRiJZcBG06zCsagHaqtOzOJRAIiB8/U5VdFVFQLSD0
hARKFN40rrqJeI2c6Ks2uB4c5MZ8HeM2gy119sOlU173eYiySPTYz/N4UB0CRWgoBLyKkH1AXt4k
XA3p1QhZgLUlGm+kl8pjT+FqrZChEIt3oPc2TbsKdhlH088Osgl6jEPWSNgfITfF+/QEwG2SCOgD
+OI0Ya46Yh2v4zA19GQKw3mjglKCM+WlCCBzBRmZSpgM9GIysQJodAc0U6ukYfyGBdJbsX5el4if
kSKPVlM6QI7LVkpkqQmEDcaPgQzSRA3gU2kUrmogJMBnx9hJM5wqMrrYl3KMeRmOiYGjpovCa/CZ
nyl16Q0heaOjSN8UfmAOqzYHFtwHIKjk7bWe+uJWh/5v+7b/fV7L/6kI/O0FRI891q7Rd4+1KzqE
l+kgKEwM7tTc7x4LSh/AWwXwD4UhBtfxt8fi8Ao9KDxgPMLAq0hwz2PxA8LgWAKHHwjKln+tvgFF
+x4LiiFBToaKdyiSC4Jddw88FhAbiseO8TNcmQly/mhuVobUmb4gnpZ4EUrYOD9zgs0FKVMdHVZ9
ruO558dRwY+N5ipuKvVFtfXh1ELsh122nIKglqAblGMVGzJv9EjaRdfzC8WGr7utN6aGbXmHVx7F
cWbzJAvblZ81K6bJ6dh4ay8vv4RmJDEt6uOsGC4UzgsROZNkJlpDPmTtF0UjiBninNcQ0xTTCl5l
dYpnP4FSgk4MMiyX4H7WE6SshfbQl6JCAooRwo1h9GMT0M1shqtGjyeMA5tcpPBsn7gpEpdGCmSe
Gl7AyhIFUSR4LTcJ5dft2ex5y7HYOZ8erVtXH/Wq7OPB+YVQxDOLpqJ64xMGT6s9H9KB84fK9icg
aYJIU0D2z6jALHBOgEfjVUG6bGkUyWJkMrooBrRlyhwpq/qkDagRqO4+VWP6uSuKS6nrMyCWufCq
NFxWFjcgn+jNkFMqeG5HEOGqMPGHoBd1xepVI3uSdBCCxyCSHTfFdFGFamOzFsIeXFxPVc8g/7rL
kNbpe1YGSJBs2mrcDcIg9NVh7xD13WZw03FhciVS7gqI7CnkhIduOK4NSNtT4HlijBykdcubytPD
R8DzyIWf5wq4Y27jvizPy7aARGZ6OdjCxWZQhQUJiLfgfrHu5oXOVQZlBGVZQ44eOcXb0zEL6aa0
LIByFSi+yBkzo6iylp/ARicPqar7FYbYaQPj0viLwM+blUwZv0xV2vG4nNCoRVvP0boPp2AFG11Q
Ql4OimrQVMsSfLDBx7Qsuw+shjSxNyv/Vs3+v+4OA5BTf0bi7l6mue8Qb5vdc4hQzBXBcYwIyvPJ
LmN5zyESCu7QJwT7BGG49J3CwesSwB8SEJx3xb5w1PZvCgdl/iE4URpFtz72lwq+IGbbE7hDeDct
htIxREE38uFttA8dIhthonVMdmdF7ppDVvLgxOjxiOmyjcPOvI+qKmkLp6DQhpbzjaxt61100wRC
3QzMBI3lBZeNFk5NFy4LDmtb1cu2tLlA8wQ7uULeKi/7QASNXGaqlxtQEP04a1LY9AebyZj3rV5W
tCm7yylrPnE51cKLKIg+IOMUcYNtcNiP3nwYgvuSaTyxKT/sSpVMOPXWzjNfM65nyCv56WoCHyIk
UnxTdln/vuGMHeE8UieMaBBw88umI7JZsGrylw1iedIbcFy05zqpyQzpbMh3CxxxiPkQP1IUSF2b
oTh02C3DsTlloYTKIFLzZV/Oo4AyONCFpB7WZrCnyEKZmtPtJzNkxxMaFtKfEmzxiR9kR8MMBWGu
AFaYQzwrCsbiobPdQnOMgQJ5bgE3y76mQx19nuaiT5dt2EoBwvb/Y+/LmiPF0XZ/kToASSBugdzt
dHpfboiyywYBQmIV8Ou/h+rpnurur2diTsS5OHEm5mYiqu10ZoLe91kB55h37j5sh7u8pPcCB/Jw
MH5O+lvp1s0e1HQMQ42/b/jc1fd+78BblQ9pMEY0SNmOunYsIp7yL5wX9iBnPeyGuiyTRdWXuejO
PjPHusrPjeOdRE+2urNHovxEL8CLTR05xRJzab7b2ruTffj6fwUn/j+4S+Gm/XsEGP9UYPrnE4Q7
Dn72pxOEr81lNHRdpPJXCe2nEwQHBMyfsPujOsXHcfXbCSKQ9kSEP0QpXvADPP58gkB7hHS/uiio
H8CD+pt14PKrdPevLKNQ8/56ggCaotsD6i/+t2r7P4PAUAVLWI98vKlGCQEEUEg7x2py2bFeoBfF
hQ9rYpF5UTCRK1FDvyu4GrEg+ACExMEULB6mrD+VYrofnelqTl14X3I/jMCNgOSSC7SD/smq+Rwo
euDSj7CawaMkuhszTUffDD58Ps1BLpWNVNdBBcjCKA3CCasd/aICmNT+uJBlOcOkRr1NW5ImWgTb
YqaKmK32p7DLX2c/zaOuYvMGO5BKnNY8MH8YIjYQD+gWzlSzwC4J5MIyGD3bOn2uYCLrPX+O265L
uLTvPnBikTYq4W7w0RSBjEdfvvjgKSOo6wc6CZCWMojAxr/4GduJwCxxChNVLgBoaaf2nj/yZNRi
3004fGeGjU6O0/us03fVTzeOht+Tw6EgnVDGipW7spwOAjLr1p1sC62d6Ehk5nvmMJ5Mbv1iNC8i
um5I6dB/+qm3nGGr/SYNT08Dl5ADuaeiPPM3pBbundcFbcIgJsVypR11N4U7a8uTy5vxVYRjS6MB
xuUtRM0YuFhuWBrobTVTJwY2g3CQ506UhXDqDl7dXc+OmJISPoCt0ICmaUXmuMfVHLVdmW+IhOA1
OzLd1E4nT9LR1Q5gtr/3+Lg8AQzmiXZAEpdd5VzPvgq2iy3LV92O3hHLoP8C46GCcddtLrnvyYNw
2+mqCVOajHOljyBx2yEijBVXqa3NqmFMV0O7VF60KCd9n4QkAqQbaQ6159yWOnQ3eW7NozPjg9+l
cG68kSLMvpioho1aD2vsiMOmxPk9Kw8UxXqkA0DjummhDuC072e4tnD6N5gCHaYBhJwQnr7h3K6D
Il1HRuCMwLbrGAnWgcIwWdg6YhrlQOdehw6mD8QvOBfXgVSvo8lfh9TCSjfR6+AK1hGmf0wzT94H
v443DDq9jrxyHX6wi4qDrysMxHU0EoEh2WFaTuvYhMKSTOsg/e9h7qzO/7Wh/+8P819r/f6XYxw/
9dsx7opfqO9wZLMCbH0/ogS/H+POLyHcIMC+KD771Tj12zEOlg9BARz9FKf8H91RHDsivFQBD3Am
o5KH/SfHeBD85Rhf5wGeTyECF8QiX+PBPx/jpQI1M/VpcE6n7pj1zVhf9xam9rhQozEQyuSw7ITt
OsieKpuedLiuNzqsTX7qi/x1ot09lL45ybu6BEgcdrgBknLJsAk6tYertvIjHRbv+LRlRGsuNzPp
QO+DhHdDv4cLnrxCVrqrFeSTAYbs2z4w+X1ZSmCwKaqDdIgraJyZI8m5TGtho2ZsNjBBZ6+z6fNL
mubSv+TVHFx4LbocgkW60MjHU0V0wlPl1A8+5OZtCp+13XSTm/bwLnS5fBoYcOsGOvNz6YU5TbpS
72VeFPMeVt9r6JJHO/A7nrE5SYP6yVmqh4EB1urcfHhCqsjPB5zNWIhhhdxglr/nqz7TEnb2B+/Z
n6anIZcwV1tyRUaSEMXqKJNYkpkxbgJbpRt1dcA2LsufvZSKWPnlm5fxe1AIN4B9PJmJ/O6FwYMa
2KfD4LfsFD4ULvrbgJYmglOi2Vv8/sjLTPk2UwhKpZV7Zwlt0jSYGKoSD03leltdlzWOlB5YtvD2
eQ/RdhzbRFl5oDnFpqjyIIIyt0SdU9Ybr0AMonTmIzXe6glW8UJznEnM2+tydmNPlBae38k7zKML
MXdwvjs6TMQAQzhJebopg26n6vBblusTeppPHQ1XpxOwNF3C+yAFpQDH13ZKyXceLtvKmQ4mNWcw
H1CD0jYxLaCtqtcTNjVfvSZt5EtbRkD7HzYPJxz09Qsu6T7ywjHY+6wvt7i8bpnb9FEv9LnnBYnY
kl5gFLjlmZZRlrt3qSEkHirYRpyp5XHBxy7G9QaruX4ZCq+NdNYfe3yDfTdssYrL3cTZEvlOozdL
zQ5qnG+mhj+7XX8Oe/kAK3EZS6d7Ull+l0M3TIwz7NzMJ4fC7ynUu/ZuDtIHxzq3SzPgFnExDQET
MhAack7cNr0M6bKfq5RgSyAfbUPyxGGm3M08dSB6hXBRD9gIMt5ha3BYApl0OWoT3BRQurdacBub
oaaxGqs+api94qX7HZDmKAdRJW0nr/3CYJlwghNAgLtzQkhfc9bELm6AhLnFt9YxdjuH/U3YspeR
5E6MW32Miln5cT7QLzWvuQWj4ZU2CE4E+2UFKUGwOkpqvcCQPz56dqn3hOHqTDNjsU7Jz2r2lt0Q
BC/c8nvPxTc86lLGVesdQAzShApxlY/Ei3zWQK1WjG1tU9zIzE98Ut6pajxnOa5tm8PWbItyI1V4
8bK62fp4YtDOGkuTpp3mqKn9B+tiNXNa5yv12JtDqw+c74fGUieSWb8a9r1P1pGnHzEOpdSTsr23
8UKgz7l3d9JXr3pmJ070DN87fA+AnwGb/FtaCBPAHuMgF5A379QCM3oc0RuCvMfAm2ufTP1mKfUO
m8t7S73XBvLNPnTqKTJhcFmGsQaLnouEtb6Pt0rrCGD3I53T7uAEPTivvoph06v2sMTNcIOWBc5a
+mZ8dt8r8PAW4t0WRjSbQKAvksKYOq6lcx4Hozclp5/jModJzf3rovDGZEx1gChRHcYjYQgawGAT
KcfSyDL7QUbcyW7H6N5JLT/LiUvwXc2UCOLlCfWaO1v73XFGLmfjQkIuZT3he0LCJKNzInkxJ3OR
m2sV2MOs0jdVT1OiCJQMCFMIcFBcraYtPvygDiKTFsuG1+k2Y3Te+3XbHLRh2zL3ZJIHfrUVYlER
zsNlVxfNWys4PBBkl9l0hyrD/DYnMOlwLcNo7qwThb1CaIPUCI/wOb31a89sg8Y9wAFyhYU72/aq
ELsOUbLEgg1G5muej/kwfC8bp9jmEI6PnqFFzM2CTW7K6n1e18vjYhW+GzsTxN4ycBA1vtcMRouI
9+MBzgEwlK5YsONCvK7CYxouJyIXBeuEabdpudxC8YW0FdwLEvhXS9fAPzAswPDjfDFD/lB7y4yB
6FZbQ1sZDTlpYbrsP/wGcEiBPtpNAnrH7AKvCA/0glvll156lzoFz1tqOe6MWU60T6/SiiZls1xG
7NAbWjRO4qXWhwenPYe8+BC1eq+6FDtmEMKPD2tzUhF+1FTMG2yViKgtIK8dxz65Q/lNl+RStfK+
zIiO116oTdG6ftQy81ktwVemHIZcEeuSVjL8SunVia2cVwPHUzQO8pyGg96iE3BMbNOmsU7LUy2U
sy+mIntq8iqRNn31oblHHm5dGKq+WtW/ckoinvdnM+JSZr36SLkXbuDlKeHAqZ4GLWSkpRwjj5Db
xTFOQip57QKzRFqXpwp4K2aYqZyMOMBc93MS3T4Y0iuRzmrnyPkI/j5MmpKA5q+f1dyep9qrI3+G
f62F1Qhf6LHp3BOv1HdixJedyBD5Vh/gD9ynXfEpyLjtBt3vOniPOoN/tZo8IRwJY+JJIbzXDsHB
dCWo/eIdhoXYjICzRRscBpmuV43IYoStjktntxWcT5FEpiUqTHeaFlzPMvXareexT+poGiHieS+L
DP8xDvBRuVeyrVzophp0OW67HTa3N2xgBzmBXsOmE9HePy5cq3gw8sZvBChr++xS/HLkNgCBi1Np
/XxHVf/BsvA5C9Ia0kVzdgIki7DEIJ7RxVBHdzx3gTIFlIhSPrbWQsroHBkT01yMDK/AsiH/5Dd3
A2ltFEAyAehTu0FPSzJ6xcZ3rYKP3ogIQCzbyhS3Tr1QHBbtfK/GBm9N1OMmx94ZiUoCYtJ1e2gP
Ac2Pdi6+cpcjjWnFzewWO73surBMPLFr5zpxkTwk5UNejeWK4VQMqXxXFCPCYQEWGbq8U2G3vs3e
hS+vmDe0WDmcHF9W8w2hzdWaZGGiMc7YnnD7PGTzBKNaL55cE4DJB0zu2o3Y06zae7o6jH2ZpIKa
29pv1Rw7tfTtRjLukud81NqJJ+DZ9lgC3SkaSbhTxq2uRjLfwnX/VjtckoSlOouyJbAS/rfyqC0c
7lMJm6BD4BhBiBAKBNmSoDBJXRK7lUwnTJVDko76JRUuJAIxNjDTZy5cPgUcz/W9ZT5oRsq+kAF4
ZhLUqMLiRVLZI3kVHvKAfQM1epkkPIwIH5ZxLhEQxd7VxWXJQBbY0Y3IrBHKycE9lg4GGwRXH9/f
+t1hNx/CGYg9v2pal0WVYcnUB+exlzfhEFytxE+EUOU3FyGwLmRXYHax3WjzjtkyI/9XQdMWj52U
7NgPzidCkPVuKRw/mkexZ+NwafwFPO9qSQaUiLDX2MRP6++tVXsKIjPmjl62TedfsQae4XJEMCYY
Y6603ePcvQot3QUzx7DjXbcfRtzRhYcXREI5hgbdRZ07Yr1Z/Ggxxc542HZDt3wrGxmz/KY0IGQ4
srcTyKO2o1EoxjMBMo9qA/MAL74jAQQZ2p1jO8uzzpwzD+dtVY9n5t34vYKruUnalmTH0dHP8KEe
+ly+9kH/aELdRsXibOAGmvzgfsq6GHvveW68N2nA2XYEJ6PKDsscLIdiqN7wBz7mkvhJgF1wk/cG
lIcib0zp8VktYxbppjhNUHuSboS7d1YLErmzFze++2JG59tUlLfW1t9KI9p47KDbz+FrxTU8Qfmz
ghk9+i+g/xXQQwj5e0D/+8MW/xdMjx/8HdNDuIbrHoge6Yo/UbPuL/CDI3RE4ekDN/qTPwct5j7i
GL+J3RT/9Js/B42c6PIAO+tCpEZA6D/y57BVJvpDegGPPMD+HHIHlbyrlIRX+hnTN1k6ceKO3Q1s
d0+2nt3tSJuEwB+Eg7xrL7DrZ/ta+fqFM9PHIa+aqA9IEAm1TCCLxvq4ZPMQIZ3Uxk7KniHWBklb
CNCoCE1slxVrqdVYy2GTj3s26E2ThmPcdJ29Kgq4ffoadO0kctC0wWPY1Ycsz5HeXloIk1wfBXey
PYIRh15Oz1hh8mgszH2r8znyEQDdu072gVDpw0SdE1HDWTs5VpAsdSOnLdztzF049oGqKyt3c+Mu
sV7CUzFXr2nvHXsfsza3w70zZtU2a2AmH6zvRP7E331QwPu+xzxoYa7ehnr69LX/iRRakXQwfydY
H6/Dib7Unq6PZqg01BTxDdGG21xjScCfCW+RuikRPxd0DGKErrV+moo526B/bVe6KYCA8b9BUt9m
urpVaQ5HEYe5p3I3E7hkV1dmx0j+PWjtnfXLbA8+V0Rq5HA322VJCpwTm4FMN0GOpV1m3pNMxfVI
U0SUPBcBVFdg1BrsfUVd7qrRHqjfv8HOCz8jBSwaQJAvC7Mn4czQvAsrLlMHUtL0E7btSrA2vMqJ
+VqGHLAILplNVwzwv0+rIXCppp2SoDYaWYQH08z5LS29R1fiiDEw6e89pJmXrKSvi4MFH3nncHgY
/Co7931tjoujWpgzSbmHt2BjC+fO1ciI0VoUUS1hLy0d+SQtNzAVDyKipC8SmgGMI4IxJVwje0KI
vmRFiv0VpQWe7zwgyFEA/bXfh2Haw/V4ZEONjxhEfVpMz4bL7wFVVylBvrt2sXzbFmd3QIZvYHfm
uGD0lXjVGzGUR8hZ7+aQaegMBTie7L4JdJdMw7IlHmBZs4jtDOvSVARJXZVXfhogAITlDcGje7XU
X06lxQaZC8A4jgizKeFRH0nx4frkBdWr2zmf7qq8v5pH8sBJ/tZX1WfelmHUDOTUTO3ZoenjVBen
2Sp8W6n3lClaowQgfUDwBHwaPiHjZWxLTWDjUoTn2mOvaWAffcddoiqringi0PkQNHjvWHhn2+Kc
AYZgWUMxQDDeWJfd0RnvRaXytu3cA0TqmAlxXDH54NuTIfw9m/snwTI0VvDzyPhacLGnrYqMI7Em
dPMLH4TYFRkW/VKGcPMJAUjUYBOGdR74HuGJeJTtS9upIw3H65LCa+YsT8BsAp9HSuOG2gMcCWsk
SjuRIdVdJ+m7oSrcB2XVRosvdkAGdFNhLdukPQLW0JDUFnbW/cK8dV1WBSzuJp461Fd4E/oGcOLi
lHIBedl40QMWLA+S8hYw6zZzZgO6sdk7+AhwJt3SGWB4CD+47+LaCvxHz2fXlDVFTIfZxZoFxkev
R1ybY53NnHsvrLGs58AqplOoqNDH0OXVXo00dqt+iDLV+7GP621YsnvXYe8BHoeMFLa4hrad7rIM
npmiq+7wPLk2ajKUG8xe8O4h+bBx60pEzDebmSKjoKTHIAOj8EAOX22/pPdFsxSxbN2HWo51NLiB
/DA5OftwWW+gyd5ZKZ9tPt6AvtwrLr6WSdtNX6c2yo0Tl6oxSFd2nIQRbNfqWWUkyK4XL5tRDzBq
0JL8xEX7EM5AD60KoIAs+k0vMtwYJMyh4C8v6QjTXTB2735PkKwe2guT1TnP3BvK07epG77cAbY+
WrfHavE2ZcaqzdDz26FcrocQ5KzvtBrvv9mIarrCyksBkmoHGygYLJivH+jk7GUKfVAXT8W49pSg
CQd/zfISltN118xPittbY4sLrgd8CNPwqEqEITgkpT6TcFw5NZikcUAjQX9f0/nsgqVAXurEnOmx
9qD7MX7xsy4xIThWgf8zsTxIgsqfopkzDDkfioosULlRO14frbuYlWZfN/W+LfolCuDVzsDY4SSi
c8Rd+BR8N612vikOyyKcAylhxCz8HHAYtq967r0DHEMyCStU5AAI1WBLAe8hurugZeU28JDO/+9W
9mMrc5Ef/futbP+P5wv9dSlbf+63pcyjyJr7DvXXQCQeKgKh43ehBTF0F7ZnSAxQ1IMQq9w/hBaG
ymtoHxzFKWt76g8zzj+WMjx7CNXnSH/+U575D/TyP69kyHpTFDaipwC+G4j5f5JZ+mG2mDXcXgbn
mEEcn+90t/vpQ/mHRP+HFidnldz/mbrFu8DiCQI4hEvGQ1CS/ykP6uK+Q8tJZy7UhoXToYKkK8so
p15NL7mDUo+k0f5U3i5a+uK8JkJfYMnzylvh8DnOHTV5UE5N3CES1OQIHKTVxqdys0gXvORC43mu
LikCmJVGoUsX7kmj73sHvu05dzdLE9xNstvD5wJVGaUtqDl3E86aI4IJN0SU79VcfiNpipikORQo
YcLuAVZB5jdZ322EVx2CHHESd2q/QLEgQCJtUsEiuJMNokNEuVWEQMu+GQF1h6B4DMS+oV2Mt/eS
+c4BQRLI3a45NlP9WXUhCqomhqVFfabGAeZXpo+0M4mo6dotbEdXaR/YRNTrYWVhXzaB8z519ZEy
osCx1w+jmx0RKH1sJ9jpPNk/l2ru4ny2H53PjjNra9SEmOs6n2wSNgGFDyDlcarbezxsBzOa6X6T
zfRaZVij+47eVjbMYCodXkhBoWcjYcO9QEXC67+KoAEJLD3UXDX6Umt2CmzLcEI3MqrKptj7yI5H
oDCzeCqGeiONh4k3ijJiZnl2Edyl+DojPZA7bgnGv1c9WBUaoN7ylTSwWnvWHJCUKs5Vb90YK9qx
g2U8ctyGRa7IrrL+gxZ6G8JVAQ+/F6PTCkRRVT+ny8jitBHgvTP32IqhTfox2C0B/zASg9nO7WkI
2IfoVJ6IQn4JBRSfMaR1mz58wP79xaSNnUZ+ygZahdsV+9xrc9A8ItaZuoxe9+4WBWKeDOoULetD
JRFwZCgKk2Jd3ikcB6zr7YYRJ4x5PVwwdB7HbOhiUvWHnObtKqHdZ1PfJDrIhrhOsVqwtt2MsJwu
qx0yFMW9R8cY43qttRmfSwfEgZz9r6II37iLop7cenRLpzKFwSsvr2tVtagokibGufKYIY1UM26O
MGPdZFUQoGIFSUQXXUdjUeHqsc2wERafRxAsr6WfPqCAB17Sov5krvW3Y+s8llkFuqT2ogktT1g7
etDo5Ksn4pWIGfOmzOOAuhBHpxSL0CZYfO1tejqXB+Ph6t9Y1jbp3uDTCJfQbR54ZpcIRl5c5WFV
PqJ3ITzwZSouPrUPTePB9Gk+FcCXLE0VVdp8R1IO6hi4coxvkPql7U+owCmeGeuTyk8rEJdPNZpz
dnM+F1dKgzYj5K4dinC19laIT6QK6eLRihMJJp0gy6zjruI8ArMcZ9TsJk2vWccVzM8ExucuNrg3
4UIx504HL7ngn9KZmgjHWgO04W5VZeIxn08wTH4j03BC8OGo+PCaDaxYz5y7tnY3hXHvtEsP1iV3
8xwkPsmevNJ/7QSHwOycQptdkHy5IHN6vXT9doHOlobzd3BGFaixIim7vtwglheXDQxJXdtjBePb
1oznINCbtkFdGAX0glhrIVYDHRaCQDIiqBZqn5QMy03qdZ9dn2+9Znom3ScfcCWOfrClrAhUnNa2
AhZKLVzjxTATsnHGOXgKsnHaNU3rxUU2wUokTG+QaaAvSjNyj+aATTDWyDdXBc6tqNTMzJHiC931
s25jUQGRCaqeyqbbtr19sbZ6gg/zFSCL3joDXy4YeM22rZpvjece8pZ+n1Jx0yzzOazCLKkVyHQO
6SFB856ISVHJrVpU+MAQ7L3OVH4vs+wdoidZ0yTVqQVfBXd3T/F+IHehy+619vAt2vxBSl0kISXH
YexeBgTyoHZQtU0JfFcGf180SswepDxxBgyk8pNuMMsN6QV58AsoR/Mc2k3WarB5Leue07AbwP4H
ao+7WSRN1SfMH8f96PZ2B4IcAXel552tnRz2ahNGWQ/hEEoA31tYr/YwjyOR2t91LF85sh1SH3CE
k/RDotoF6MJ9AP58ad3pPuOtfwjZ8KJDq+HfWtLzvx67WB7+PHTR0Iislo9wAZ509qfJ7leD8YTX
DBctLFjxm0I8+PirObxlBXv+16/1xy1iHfCAWujTgCEQLmBwO38kdrpOTz0aE+1FpJsUHXzzNif/
pjjk373E+u8/ZbvQx1FVdqjsBY2Q8QxOKB/fmLn/P3gfKK1AYhfA1ftBYP30Il0O61pRW3uhLXrH
riZyJuPhX7/EX78WfFQ/vYT/x/fRQ0jKXDbZCxP3qtkuqt9gC6mDb8X8b15pZdP+uHX98ZXWv+Sn
N1PlI1d+jzfTzEvk1lDMveOgwN9uRnVc1PIrCPjb6pr1D//zy6HZBWZwGMgRBfwTuddnxbS0vWsR
OXhxe8A2/yHLT7N6+fH5/f9u7gcnihv077EGmEk8WuuvSGP9qd+RBkADuqw8CkCxRpNwi/yONNxf
cBbAt8R+N+3+ZulCognc6BraRKMVrnp8r/+kf8Ekrw+/9AOIen7wH3n70dn6hysEIVDkB/AQL7Tv
AA8AEPzpFh692usbEs433A+7rUOqetMxpyuR3hFpA1qwmDg8VBxGGJ7W5tquVKniOy5KCEQt2nRk
7vCrqcacHgtopwO8EPAiY07NtNt6bh+CnbB6D/ORufVYa+Bq6MlJzRnfoa70JVzcIibc+agbBqNv
vtwqqRGusbpKiBkxa7PgZhFwANUacfTMoIxLauwy2ENhMpUZJB/l3SJsBHFO2SFBGGiDphu+x9IB
9xOFc8Ith1qg7KTmsTTlHUjwT1s293qUV0atdlhndeBMZDpmq1K19KG5cQb/zfO8u7DBb0lR/YlH
ZNkE+mHSTXWVpDaEZx8fDfWqaMrGW6dcntRgHsOiOcm8e3MI3YGYwh+7YEEGp3nF+Axe2vLrxYjv
CPyXgEioHRDeeJoDreO0sk1MBhCSObS80Es/ypx28G/pbQrOKyDNNVwML4VUTRRQk8YyV+0GSfL3
RaK9QmKDtcLcoUypip2CNuLSUUHmHRnWOsUcr5c6Frw7djI4YDet0TsE97dOaHeeg91ubZ1sl89F
CDT1BeOpnniLzSyAatvNYDGGzsRMFQiwCWv2YYZiTuuxZ/De1wOhGQJaZjNOHpq75s808DeeB73A
S7M1xPo1BJlOgpLXSc8WvXWdvroWlXdJ29nHsQSy2BTmNm9Rb4O0PgzfBN2IlfbXDYBHtQ823euf
ikLfDo4CPe+DogRfvV0D75Vq45yC83H92wndRCCXw6hX6G5o+yoZiRo3wsflKjoYAxCu6qGsLc4+
qGp0AaqOwcaF7lXZhE8woVxK5KogTvin1Apk35tuSnouvznzksX9qL8FE22BeolMOpQG7MFHssT2
ZYmWFiaBpQYHOGkx4JQyhlUkg30twDWlqbf3lLruU2isyFaAhZpQTCIbENpIO57Q8ngLAvK1Dmga
1ZMSGw6xU/neHsGhPh6z8Gaq4R+viMfjIHcPTgbU7huEgMGc5VFRTTd6IodW92002/IDrYuoeQGR
OttLwYYpcTP1iUPqjLYIuBusOI+WOxukTNoo7erxKpy7CzX0e8EA9TqT72k1v9siPEPSvpc16GSs
m68VeNSoIzxD6WtRbE0G7zQCgq+dbm69DOAJrMJnscBqCFfAbhlsEHsV8aOOrUWmmbzXeWZxU8tq
Q0z5XFv97LarlDMyWMuKt9pHu67ba5BrOgWkAETAeH4qWnJys/EoQuVsnIlv/NwcU5jWUTg1xCN3
XYQSySuS2bs1IKlbcOY26MB7ZsFLj0qkqMxouB9NECYdum/21sWF10CqvvFKLUjSoLnl+3/H4q8U
HMiivx+L67OP/zoUXfzMb0MRxQS+66MuyQ9g6fjRPvD7UHR+cfH0GYY6A89H8gTM3G9Dkf+CJ/+C
E0PZARbbNZPy+1BkeKIR7NFOwEHScw+54f+AfvtRhfbPrQkzMcR6jqZJGPfRwoeh+MclLXBN5mAQ
9eegC6BCQb2AXpJ7VRI0LNwFo/jWpZndNoajfRtBLEbQSCgG+OoC6RWv0oP/DtVeemgOiHwaBZRX
WGcDNWUILgZMg73U1pwNLeUDDDMgpHO6BKDEl+5WVHnxRiu+3KKrJdsZJ/XcTQY4ks5RrSuZeGzJ
tz3EUxy4HDl89JgRBXHERWlY94rSkAKIdALzDu8NHfxOYgjXk3SPStlF32cLus5BkqUF2AKdtbuQ
ooFM/g97Z7Ikt7Ft2V95VnPIHD0wqEEFgOib7LsJLJNkou97fH0tkFdXSYqiTG+siWQ0MgMZEYC7
n3P2XttE5ANU0nDrYog3oFMqb6h8eQPJVfaGESyXSIz6AatFJ28TezJmT206gMuTYs+jl3aof06l
6UtoUzSAbwC7Z+PUTU1YuKVSGLeRYQB1Z0iDGgiH9UYuw6S9TdSUESDmsvQywvRWNpXJn2FlFU/z
oAGLKxmPxDUw2sLcoUxWhffvI/r1EVV4cP76Ef0Wpvznh3T5qd8fUoWe9gIV4eD69Xnjr/77kMq/
KagZwAhi6cKGQxXz+0PKk83RlaeRc+vCav3wkBq/0R5XSSNSVdrOy1P/Dx5SRfm+tuEphfoKCwBT
xPKggpT9/ilVJWWgQ5UkFyZsbb1HX82EK+ozTcLEDK7Vy74qtLoqrq5lM3E7JcPgnm3H3U748SZH
GkoTbxUj9YJZhUQA8ReldH0QI87rJ5/aCXt9niwjIcXB8n+ZIIe4epy121LRUyfCiIC8/TJKaQ9A
Xnn1TbZmvU4OpZivgBmhevbrB0SoGxoM87qzxodZDJ+N0rwpVXDr4HrKbTCCKO6sYqs1Nu7Y+L0v
asXjmMUAU0ZnWXK2uPfpfEqainhaTK2DuOxiFf71kEGKNpZBe2DMC7TK2vZGqcDpwENkKM8a1jf0
iFiR+hhwc1FUvWfrWrxltpp6Nic7BLO+4WVV+NTBZUEWjJI8SPwEkZSQ12qYpyuOdhIjdaMNtyHL
noCDxNxyhe98YpmR0i1OrgWAHnOcl+X0IKo8uDFbc3w0etbNwqSobcZIv0SWAtlAjuQztin67ppy
hYMf00hDd8+ozBZ4XdyswwKQFFwTLq3EFs2fqt1iCJzdKax71GLyCLot8Zt9LNf5NWY19WCVNar7
jPMLIRHYXaO9ZkqGvLOTRkrWCj4A+muJ/CZXquZ2nUTbPAb4zICw8y3wBgkn7hzdAA2ftdCzay22
oSiMy/harZMvadE9Qu8/FkIELlrmTcppz2ErOtW2dGok+vBhFrl6md6MIToQpX5WpOQYD9ECSc/u
VHTpHpruTxpySSUwz3k2knEQtmZyhUY6UjxV7dX4nOlhPJ9kXWCnTQYvKWPDUbXe3yVTuOsy5KK0
enM0iYrlZXPwaQZkt/IFeNTSXsbhGbWVbud4Wmr9EwaaeqVrIkGQ2DauGo5eJ3PwzaZ7Ot+jO7W5
7kZ9H1OEkPPg+5gYjAGhstCLrRTAghJW4I0R/zLmdUPZ9kwG4fC69HyV6jAurBnz2xRGvStGcTZ1
driEKf4KaDHTVgoKIxp7p9VTxYvSRiIURHkxRpnSbipumWdECAQGm+5hY8J0hQwZWQApKclXjWl+
yfzgMwKKFAlD6qB1oAkrxVeQVgfuAcWTRWcio5vAKcrLvlIM9tri1id5g1amwCbt+jrD4JUUFPPA
LNcskn3etMXdv/vHtyMea/pf7x/Hovmf/5cHX9IvzZ83kYUf8Psmspz0wKlo2sKe/d7RhtnN1uiF
aiZjWKacH0562m9MQOmRElYDXxB61R8nPVJKOQRikkPpveCp/pH6bWlufDzoobnDTAcJkEhE+rE/
Nj9iYHTWkNvxucu8WTfRGW206vHDB3P17dU+Tlrp3/7kKiqKHlVmoyBElY/nY8+v8qOU85wen9si
jlK3ANW0cFAny/FVJfFiFapzAZ7waAYWjErkRk46+wcAcvENuSfXaYT+RQ+j4yBE5wpZ0hHZdMxo
5Eg4IoCWwM7W9eEp6u1t2clHMQ/XEBxP1Vwcxlq9cH7di5iQnKwHLBKLCk/pBJbJ75C8wmb6LI9M
p2CE8pct8T1wQN4jzpb4zQzILzUIEapVfp4AGuwVmOKM/QBVeeMPo+m2UgMlx1agQnVzgSaozZnO
KdoD4EETxKSuvoDzbVYSPcpNJJLQ8MKuKlOvmKrksShkGv4W5rFtYFN+72QVYS/8BOtsTM00bmBq
sfAZGIZXLdWp9TArlcGoVwF2Ks1AoORiYDiC2NAEs+h0etZOPn4tXbpYlSKdeH1iIFiKk2ViVLAZ
W4UWucQA1VhrONSzDUaUulqy78bKsK64XqO+6FNgNgdlKvrCZS57U5i1Pl6FMoidKpjsg10b5p6p
YvAsDFl77M2QGiGFXaa1eaftOIHQPKGZTX6OFfa+4Yihse+LwsJsyAnZwwOnuUo5hk5KgI1TBcFE
h0Pvz3bXmV7LZ37E0tG8NmFwGCdEv9NoEWRSAThmvOdRVWFRQ893w4h4H4uJ/Rwa1k2A2nGF1RJl
+WSH66LELTwmGlZxmeoleiS+pT/y1fWuUUWzV7e4LhvKILbyMdobyPw8E3Pypm1T2cltdoUm7BX2
XWihhtpvB42YlHBUmuugjGXPkrITnYETHhP4HHV0rRU6NvMuJrop3ZIwlbiBKq4ae7htZbO/Z8Rl
vTNXxxKduMYwGu9F1Lk6sSuJX8l3QurWgdEisCsSz5aydWIRjDNC5W2M8nPTtKSh11+meHqoYsmt
1X5PhM+aBYT5+bzRRtzfVu+qdrulSDzOjI2Dun8TeneqMmmdDrKn1pixuukTnJ1VUHyCIy27g5Gq
mxFCqpvo/bNuRG/pbGgeSOtm30JtBj47H5VMIWlEOUEScIcueYaU7jatmrq5ZXp+b6yRd207MT+P
fuMFGfrLSlQrFXsbSqtc7GIdOpA8hS4N2Sve442OSModozlwo9rHptKL6BRqxJuEvnLdppjigaAc
AmXkZsZzllajWCU+tinAJAebh0gUJm7GGou2dbRK9aiNxSMBIU6im7edElznVXk0+XOv2Mes669D
O9qnCtlJPs7QIBhXypTQNMHI7nQw1p2gFudESl6KRH4pk2wfNcmhSK193MnX8yC78ETdIk1PHCCd
Kq2mw2yaW7IHiOzBoVYl5razddeuCaMhFGU1zcPeKuZpV815vsdj+TmbfJAGnCndKUAPp49qsqns
cuM3TGrnSarWv1558T//eeWljfBVsiP4W+uH5nY4yag6jRTBfpUoXp/aEzPUKXEz3I/HNlMHsC4Y
zoow22Xl/EUuq+a6qhJxZ9FwXhXjeNPV8VGMIOds81GM7QaGyjsk2AAuOO1WpKe0IheT/cw9nfoR
xia9cYYYJoVW9YprWu0WV8gbTtnO4XT7oJhh5TG4RCkoUBGkZNJUNBN3cpmYtNHyjRzXGwXNYqoU
myYzP09pdot+ZQ8F+TA36b7qADWVBWlbir1pB+jEzRRtlTHUnQalpeHjJgi1eBMAi3Qb0dxoUyc7
oDL2IrR5rqn20bLQNIzr8T6OgO7YRldxLygXLZpzBqRwKsYoOfXlfA6beJcMNPsZtBP0VO38pW/Z
WUjXyFhaI8j19KA8wi6F4pMDGE6HQ9plW/Y1JC0lZs9iamBA1BeyhW6YUgarPu9T18ilCE4G0W91
fRWpxARl8EFWdR3faxNmFCRxryjqD9DWo9XIDWrV8xok9GLOo3OQ6StNfiYIys1UhJa2th1Yh9Sm
+FzY5lFUqD0DW/rsy8aMQpbiogMGlqSZvIMGyFrWHiPTeFJEuhaAeFfYh57hNMhO3EyJp4XBRZ11
2QX1tnivY4u2bdw9FKpKiFtU1acUB/ru17fqj8g5DiIGmgP8/Qutk3i9748I8VwPY90TgeB3kavG
+1r5u5QCjkwfjjq8JFgp+DAWPTcUvNbSjft4CCH3IIcUGgTn1ADBb1yiLtpG5U0NEjKuKUUNyOLx
t+bKX04fZeX76dKfr/rDDLork7bUVEk6iSm/BUOjrpgFgO0YngKmIasQFZbTWvqj4au7nqa40wOs
56kYFpNhVDh5PT8VknmMWk04SIYIRRvkNyvUTDcT8b1hZYMbJNPBTLVnw4cgL6cEEXI35YXXzWbu
WaVUuXKJoMHMp2nXgeB+K/K4XWtzBmQ5ij6l3KteJdBqsgJPbmsZwuk7+7bT0nnDengPJ0PZZQGq
uKn9TK7blk3prqnrtdHAH1b0eKuKUPJiyJOrdMjJApw74VSYNd160OkBROONEubAESKGL2pgUKQh
YWn696qh/9CU0a7WpO00aHfjjLpGJHu9xTNElEsACEpNnbiNqPM7fZfMMaFi8BAmX3HVVKCV8RNW
WfHYi4l/HGcnKxw3eT14vT9zB1OStQGgerV0i5houHKOLbdO/VOJhxqm3FYuoI1awXhL35ADXCnd
dS2oAFWFvzVTkkvkta3krng1gupUi+y6op1Zg/rGT7XvdWxWva5uzdxiRZTl+3wKt6OPy7evu3Np
sEfGJXjBWvtiVaJzfLwLla5tglI7mkPq/Poh+qqL/OM4/+e7bTmIfxiuD8g5ewUg4Sk+5lfBWVpX
h+ph2Mw7fWscLbYe55MyrPS9fMpfhr+Lnfphsv+fB8xUVZloI5rTywP44eL0M608AdB3Kl3mVUfF
Kdcd9tyD9GiumVjcXyTn+Nh7JEv2r/wnPU9HsdpHa/+8xMX9zW/z/cb37ZNQBcdLSzUoo37sjU1i
yBg6x+E5FFdAJ7HzP9b99tcf9/dr1p+v8QPTiVZaJ4UhTLCi+hLUW3u6/vXr//Q9mMI2TZh46Fh+
+Daz0ZglPAZs3tJVhY2h1jlzfluh/hUuLJ/WX5fvt6+fakLH8rb4c/W+/OTv1bsikxSOuF6YxKip
oGS+awFbdF8By3z7G37q9xaw9RsVPSFeisr/8CTzpPwhXhCyxWPIWYxwSw1b2z9pAS/M1w+bGi1g
7g1z+e1QaqBi+Jp58+GZQ+qZN3MxDpcxxcKvdVG5JlAu9hbVY2aO7Zr+H2bOUdf6ZwJrDuWCqTIE
bgKkspHjM2hwgcTIN8HCtbL0DKtkbjqGiEiWaOdXfcFgEUfyhcxSBvAx+QZl6t+qnWScOMeEtKKQ
1JVIG87cwF4chA8tvb4BV/A6sq19hsFMq+X3ZJwehjCDEZFcqrR2TVnZ2sBjVnZMJEqUsTzHqRys
5omCYhRa4xAmEK403fgSm9r9YEgvSS99IXe1ck2s60RYICXIi+xzhY4Cn5R0bkXfwQdh0j8kA0Gu
tvE2hVrich6QId33oKI7DnHdVDyEWXGtGIFHjAy46gm5dNW1PYK7TRecgmhnlOoN8+8TBLUvM0rF
Kb8yZHDx9ELP+YL0H+PHrKJniEIhzPW7Xmf8LOL3KdBKTonKNQk808rq8Lz2QXNfSK2ymrqWMiMN
0/XYpiOhsHgMawOjFLgNtzUHbdsgNXHUFHUu7EJzNRfa7GQRbr3Gj21Pao0GDWCwTUKN3AG0FfRx
4xtdThV3JCQG/AgSUDnSe4xhknpCpRkRY4PcIbFQec9SjYZ+BEItFWLTjc1OF3JEBdlGazI79W2H
AjR5yL/aYZTFGRN/NcmkXw0zaT87o2oMq36MBo9z1DuC8e2IzSZs6wT1YdOazPXbxn6plylylham
5NoyKb2RJvtrBvnyxRQRdsnZ7pxAmfJ1qQ3FKZuV6N4arIcaayM2Z/sliQAE6xx7LwMBIghgOvxa
k3Vn5zj3kN2UNAY2KXyILUjae6nzZbcD1+GNPiHEPaEaN5m2yEMaJb80C9qAPinAuP40gsxkbwfk
VmomQV5VOl4RfoKUvhtKdNf9WwPV4WAmSo91KfxSynC0Z20SXmTLZ4lxQ7sSbGiZpMuOabfdtqaD
slVqI72tjCq99IWZ3yXK1HIQiBBiauVdYRG83BpYGjvo4QF6zNFgntJhvwNq0RWrtpguQ2v7jqTW
GM8hq3l6pAyHlgiM9RTRZmon/Mx+6VTh8IDsGXk1YlP0GqDJAs2eVsqoSTtJsoeXJB4GoAKV70ZW
m2/Gskg+JarebNNugONXWftkCMctGDaLtoc9czqbS4yDOgm7gyr7xzBQrZPVT+eGiReOdRB05gKj
g21VkycCoK5dUHWSBbSuIZ51lSwgu6/L8L/70XJW++v96PSKyeHPW9HyQ//din4Zig4QnBmgztAR
MhA/9cdWpC7AWtITcTjT5+WM8vtWZP62aAk0OsxURBrN2X+0FX2tn/44ey5bEYQDpHxsifwWvOD3
xz+LXjUMFTFf1Cx8qNS0Rf82wdAqK+qPOVtblbGR8QTrk0SRYz+gWA6WB6pwM9u4iy0ch0W7I3jY
Q33tE25owsPyIroz9+kCHCwgDwZSXu/aIQoA+KSx9Ma6l8HJkJcQVfNroKr+NVt1SVltlrzVbEle
FUsGa9EZt8OSysoNfsHDDfh7CWwN52RVEeE6EeWK3PpeLfRuJZaUV1EPO4PY1zCy9uznTN+aTzWk
NNLSh1UQi5syVq5sS3pQ+oYE2VaVVz6hsn3Jgtj5+fu05M2G+L/9JYFWqam2dGW8tITTVmmMfbdf
8moJrq0GEmxbQQvMJtg2ECTclkUorxPTMNH/SNq0G8ZCckJCcuXOvKjYojvCc2cGQKg0TEAoIT02
RHQEVT2GS+AuCxy9WBVSY+O1OpL4iPC4mpDeth6YtZLaK/uMh8viXREypUp0Y3flwuzNjmWQ7eRs
ekia7iAV/buo9ckV0oSIifwxQKOkfktk+4EXTbZVI7EghWSDET3u+goVDtF91kWZysmZ6W47fYvR
OiwGp1046kVM0zYTk0SeEylH+YgZEwXKp3AKCP6Sp03rx2irRjqvlrKzDXXbdfXFT2vyL6hNT2FV
VyVaOBRSG+ZqUHCQvu3UFjlao5O/xBxTLRiyhnm/1gBXJsjbk3QEbIb6K87H18BAWclrLgHyNPMW
P07YG6hPpFdR4zSreyBkckJzqrG/MO1mPeSD9SwB3kzpQgMLvYpOL69vGQVrZ6XNioOsBHSnTSzx
c91tw35kxzZSzUt707WyTN7Q62nXKff/uWOQYUraTqqaBwY8W9EpD0Pfku0dNsJtG0WmFlLiY5nj
JQmIavVCnemx38Nmy8cl+UuTFn6zLM7lqCrXOKDMbZT0G1srqZ+DfZYgHRwr5ZWySHeTfIoupkqq
HkPv9WRl665tBpqwUeroQ/42NcVa6aOnIkCGRyKyF+B0d+J0Si+aht1n/Lsg0R8qGgiR6B8WhRK6
pq9TrO/XiFIdgeNLtnxJM1JjP+u6+7eNpJ9cwrZNQ9UE9n4sfj8UTVMZjA3RGdolad665Goq73L7
+O8e9U0yw4f5iz0KGPMXhgt/3qYWTfd/tynxGzliNjRO8nPQoVGxfBDNMLFUcTEYBlYbm73o923K
gO2JEZOkU4023R97FIo3ZqDUwJrJ7raIx/9BuURd9mO5BLqdQyTxYdwfiyvk+/svK1OtmOhEnjN1
7tdIyzS4ueazyaC/MLtHpTXuk/kaysNGqWRPqazrrg3u/XRGqcx0l5Nj4lb5dDKO2P0/qUNyn+Hf
d2W1jjeEsWEIB8nAc7jDj78VQb6gBou1DrXQCXvEDKy2L1Lel29ym4P3RO/soTX11zOAhSEixcIP
6j1xOTj6F1INxJoccs0steCGQNkMUfU6wbaxQ/W1hnUzLtAbox1P7VcMzgLEKSHjdMjSAFQCy4Eq
/AKxPjrkpex78qAbroCtg3vpRSywHQ3qjr/gdwwLkgA8HjjBZxv/5QSnx643CRVMteB79Hi4B875
DAh4O8D3aRbQj6mQodPACAMCJAPw4LRwHoEDEVXqVAstiHjAzwX4ILK5qlVlDGc7gtFRRMpOw/+O
tY4jOSPC26WzZq7LNnmuFiwRv+KmWUBFLcSidEEXtV8hRgvOyNcgmy2Ao94gzhAi9Cb2paOxQJCK
FiOlH3XeUMQ3ZIwdjQWYpC3oJDIntlWRfq4XqFKrNMg5arGpF+CS3ndXk2VvIZYZK7FAmcJc/dIu
mKYUXpOPGr7RA7J+zPpNLEgnEimPIW7NAtbTaPg2dZ55ZDxwwXh1zqBCGbGOoBpD4BCETEGw1RPj
u2oXlFQqgErlC14qoGp3jAHkVLrAp0hia8jhAUgVLWiqaYFUtdl8Zbfmq15Ku2DZQrpGQcCO6khR
puvBNEBxygw8KvXTBH/Ugddwk8tZ7IZ8cwA87vUC+Cu2TE+YhnWsJHmXWsWpjPFgZuND2DRvNEHZ
DoaJkEkD0FeBTNOZakhnSdzu+gkibM+EuovQv8yo0Ba9/bUPDhFf6LjN0Civ6wB6xjxRGpK9oSpE
EcSm9c73QWBgedHqcJ0YYkOVCiQzhJnRM8OdUvU2nvMXxveHVh5OxcxMYm7zvd+0R4E5V8kYTqai
3Fm99RY3wc4Ogw0nz3Rl0HkemiWhQLqPCmMn8mLf0VwtDGOXiOAiifwlb9J7I6n4UOfhqKn1gULr
1PUcWcpkvE6zfjP6cNA6A6rusIVOtZNrbU0qyLYKwn2gCWg3k3ooGeUMjbgiWJfUmJlIz6B9Gkz8
sI02rwk5vqD7pzcwm/vaVm70qDwkUb/VEjgZzKy6XdwzUYKMi2Hjkpf9pyaaTFgLym1TNI9gOQ/+
GJ+6UHPDYLrJRUo9xUOfpOQjD9FjkJgbMKzbzIisHVivjdEPsMbN9qTmEM2JzUalFew0Q7nOpN4H
+FsBH613vS2exEhrmdjK1LWV7obYG2DeHFEYV2JimLMnJGNAACGyUKuikoXwauU0O4yX2bI3g4RW
ywbGF/XPOQeaRhfvcwOSLUKnNTf+U0QCEbbQmVjcG3zek5NaQ6rALQcuO42quodvyWDdSA+A3I6a
nezGtoNUA60bE/1F69ODT67hKi6C0+DDwiSY9K2HZLGS6vSMZ3lTFfa5Zsjo4BBeZ5WQvUiXHyK5
O44oDdRE4vga387LV0jy21spjzyNgcdBB4W89DiK/oIp8CwS0tTIwPXqaXhVJM7+URlAO6tKt2r5
LmoZgmYXRJvKyl5KVT1NdgYMN6q3SRFvEqBBLn2LB9MQ+4q4xTBE+9hI12ThAvTV7nBOMz+Z3+LU
vJ2RWh1zvSoxJfg3ZZafpKUQ8aECa7P+IpfGxlT8laYO+jZuma2T16lsExz3ihJ8SSZmPmZeCGww
01GWwfbJMBzXIgLpVuk1Z9iwdJQRn4IRiG2TdU/NEN1W+XycuuDOr5ttLs3wRGmk5DCeeM9Q/NLH
tgp7skmvEnIsYtE7SmyAOcnGja4VtB2Cu0jMjWsRgCYx6mlna1c3xvWcyts6sPlo5ItUETEawozp
O+WWTHLLE8gLXateJIXycF2qxqlJ2e89BG4KmJOhih70LGpZ/A3zoOT+MihN+3VYGausms1VZPU8
nfMRuj+Wh5q3hPyOkFZcC0FuXyHPgO7U9rk3SxFTWTLoVkEPCL4HewGgytOMPKZjNQPxs1QZafUi
kAuQcS4B0lhSRpL2VkVv93v8IICZpOk9r+l28RSvEnBFjgq3EzYypZaepo99ESiumAxakowv1jK5
v9Iqiw1mPFlwRF9bXvJKbp9i2YStrM+1hIp10K+bIZ/3qTWjHBxSDeMwslsZqeqcurMsHQe13tPD
uoL7vNbG2ANv8pBV/k1Q4f6vyGCGRY8rxCLaRK6eYMvGjhkMXi1jEO6TcdNpPsjStn3r486RE+tZ
89VTP0xsMpGLlmHd+vqKufFdyQDXtczwlZX1Qaj11h/Ci9DHL36sHrKZj8kOI48bCeO5pD6Vs34w
o+yEIkt1DNK9MeOvyUneM3tEFzLhLjZq/xILWKhJcdM2SxMxm3fY0o/6GG2xR62CpNxlNmOkQiTo
5qlG8Sxf20N221LM98XEVDrP73JGgU4mJQcRDTshpBOmB4ej0EYZq13r22jsw11gVoegbB8NTT2k
ObwElZ1WtZC9lJ8WHC4N5+vR56Qw6aU3+6EHn9nRq/ZLFtpHKc+dhptuRNbU2eknQxXoZOx8V4jo
pl6om0rk2Fo8rdTM2IajuG2WRIs2x8qHhgs8ZuAxd177IHDtpfDsMAC2sbzNOuWptzSM5vK4hnHs
qGh9OVpUxKIDf5vS5CklSjeQdcK00SrbCX3BLkiZrscPtu1vVGu+EgSdIwWT76YBIXFcPhaI+lw1
Y6Yu9dFnvy564BRDhzBWPeNDOvuB+jKK1vCiuFzSIjaxHe1s8ivWQYAYLpm/lJN+bkvQBqzvpHkr
3CxBMejOYJnYfKZS9vzJsC6FXOxzDcxOapEe0orrVIP9Bs/MkQJ13RBvsPLhma7qRmTbcDKe9SGe
bm1WGrLNxuM4Wp0r4Uoa8WCUkvGsKLG/LqPqSTDvXAmjWydNnzp5w7u2fACOy9JToVHqwd1vgxqf
FDLqU4kkF1ouvnalPpRyUBHsi5WsqrN3NMwNR8Qqh/JM9m8C2LuvboNoLGntZrvBVGJECh0CpmXX
1rWnUeZBixHkuvVIkmI1aWc5ic4J0cJarIWgUObmWPr1UrSqj0qQBvsBsJXdpM8kgWnb5XFHvYXq
MGc3T+pefbZC0Eildi0PY3S0VajTcrkLSnEHMpvmuw6Kaeg2gShckSXHKqBrbmr1KtCzd8TqNNJJ
SKFhepe0xT5qAcn2BufMYfQapX2a5OrGHokFykvzHMvBOTNjiFnahKcwfqhS+1kb1RukocVBV+Pc
62hMrJVWe4Y3sLORAzl0SvJN3vPCUiWvCzmirQzjbxunpHI0ecnuGGiZUG9HOVYoI0BvavCkJk2J
nUQ1JE+RIx9U1oeK7ydazh+q6yW1i/Qaprvs8bZKa+b7AkqJhBgVJY8uYLVXeX5qADDb2u2vL/K9
r4G56teLIBqkT6CSmbNUcR+GWomPZBNSQnQR007KT0IKaYLdtcPdry/z/ezsP5cxEedqAgmusJZf
48NlfCFsqgDBwV15H4p7Sf0W8/GX4o+fvL6JO0MotCL4uH78rBo8QkVhZOklH7jRtpb/+o9/fwbD
Cp8QHxTjxB/sH4GJPFLVq+wC+C7Tr/T/tDn+8vf/0zx/+Ro+fD4/fNco8eSQYVF0AWQsQcqV17Xp
YvAcv6Sx++u38pNLLQIgutQa0Rq4z77/KlIrQLE7F8lFxFuac/grYSUGmsM2LJWrX19r+bX/6FN/
/dq/+1qWW/zD187UK+uhqaeXUnVs0oiou1qXNXXq17++0M/e1Mfv/4c3lZuxXXTWtwupEVoUTFxr
9pFlKy7/5l77yXMJ4UJGLM7uqJJo9f2bUnUAnGy8jLxI7khf+9HT/U+/fjs/u50/XOLH221uSMFF
U5dfcus19p816X9xOy9zAxN/I3b8r72bD98L8zi91ch/vEDSRMu1Sqf/xeJFt1YYi/1KURGpfP8h
5VLO+d6Qi8tsvg7mucvhObV/s3b97EvnJsb7oqm6Ji89ro93lx1mZT7B6b/UHPwmxwLQpV+TTVWU
LrODX38jP7kWAFws+PJiIqX/9P21iLekyQa2/ULSCPJn1GIh8s5qVXDGuvl6qX/Hchqr5l+3PG9f
8/b1f1av9dtrze2MXoR6dvf5//6fbynkyw//3veUARYrpkYDE/EipBa+jP/2PcVv2HhJn1OATCws
jD/6nvpvwGnwEDI6o2IXS0Py9/EcgD4D3TmtSvM/cb//oPX5/cPLcI6IO9RQGAaZEzI3+eFWUUNZ
Gghr085h9jI353F8/vCx/ORcwLbGzfbHsrpcgVVVXTweFnl6uvnDjd/RFqImGbszpdkCPnifSu2c
+igU6vadoRdA5JrSRUP2IEv5TkFGWFex15kcJAzJKDYFvbzcrLdSI+7iLlxrTflZokWExPvY6UzH
gVINqzlML3Iv68lR7dsKtljW0OUaSUAI6EY7eogeZK0W00zAndB3I2Oadw7XJ5WppIHnK2ILg9b5
GfcEcWnICDytUaxVLQLpKU5B2dmJ9qkLEdW3shk4WhJWB3lhIQWydTFLU/JSq36yaXt5rGLQUjUN
uMA4yCtVKdq1DFNwRSf4wEztJVGUI5JP17aziWYgQIA0L7Z53s5u7Vd3vp5u1DlCsAjGY6YfJokB
6K42vmeJdGlH6BINFdya8HWXGunWjIGs0xRTK1QSQtrmZbdvYfU5ejddjwk69ZmM24BOFZG5+8o0
X325H4DAxhhLJLdLote28cG1muSM6tY2DeKLNPPj+eAiuX9ukmBvk1aTVfpRyykGaqU/pfgODUaX
dVltMVrCzNPshzia2y35vle1zzitmcm2ioi6qJQWBlK815bTWorPTZlVcs5n7TZScxanZgy9zop2
E2Q0Ospg0PzY2IgqalYFSU6dZiMcqh2+CyRBeUvTIMj34Huo4fpHrVCJdtHPRgNpoZ0vSaTdhJkP
bsXPNqbWn8Kh3hXTsAsQ59CxCLBDDlv8IUcsLres+rRg4/QRAcOD7Jvobbt1URt7a9bX0li/gGSh
7ddSlarNc8GbVyb6JNI0f05S05vM0Kl93VWT8Qh21Vp1FbYGbcp5UXToNHlpwBnmC0/BOo7i58Bf
vIpMoNdS13HbVO9TEW+tJfZKLV+6WjxLEtWoSSM48WOXcbgj9PRtTvzrJANdzDz0iOs7IRkJLr8m
mXfhbDsV+ShOEAUxTsLszZaxKEpEOnsWcMGTtcAYo8iYkczQNteN29jWnrqyQaWu0L9Ny+XpiYdb
IVNSdCRRKBVCWh3OMq05/Wa06KJ0E1wzAL8JfiO18eyUobDCgMIbGuMckOBII854EAZ1mF351ltt
I5simoJxc18aKLezumeOnU0SZn209dF5rCPjWCGEdW0+CnCFZeDU0tKPwmLsAp2tV2knCa+dUTXl
rZ/cFKjuIPZ34v+zdx7LcWNbl36Vjp5DAW8GPQES6ZhMejtBUJQE7z2e/v8O1aoiKRUZFd3Diju7
KhLJBHDO2Xuv9a2TyjSEs0J1O7omXTedVXrV7oqerhkeKcROat1usW4nfhj3BxM4htumFQ6CxdiA
FnH8ZVIVFxlz5ZddXWILjrMzK5PhwBCRdrEM/MVBUD0by3zbBNqTlZITqymnSaTknqNI0mrOpEOQ
qlB5MlK7UtOYvA7JwRUiAYlXlViuuz4tLscBtyz+bQwEyHvpSJGcstIspV+VVXFi1RYLIpERijVe
FD1MyspCYFzO+xA+YUYMeoIJtVq6A5KGTWREp/SC76hRoS/L+9EBq1tM6aOe0PJpY1I67cA8UTr8
FoEeW18Bu6vestQiJw0pwXWq5Mz46RxqiHc8Dd2Px7giBUsaN6eLnR41tQJg0F4oNROEjB7ClEMr
XkZkaIq1U5Wgp641m10206mTqutcJT4ld/ts1Ta4owj2zMFK9v1+lM3ysRAUyimW0HJH8mruQdZz
ObRFBDKdldANCIJKLVh1STRsCj2fNyz90V1QcwW1z66LnLMxpzZn389Nss+SEImdYaLY0+xdn9JD
0Uvr2qhL1NmU+ricVZCPsx6gKkvrazOYr+3CWO6XoCArqy/btdGHimvROe5mW4IfwUgHo13pZfyg
2wxGf9/Emb0WwY7kFMVjxK4UdURwFNziEQGlnUO9ycsHc6h2tFPXkzX7fVtSjlr7tJ5vZASWAxQd
DnXRTZ+p13ZfO3jUpmFXSkmzKoMM9D/EC5fu3APzSLK7Jr2+72HVrKqSgX4a8aBbcY+6I9DuVUFp
DlRjWtu95MDKkGf/4+35t/IA6r4pGFsOxRX67HflAdQdk4DXpDh2wr8/oQc3x4uxaT+peMTc99Uh
gNrq5Tri+Ctk4L8fAjprydMwKo45NqnWVG9YlWjp5o8sl407zo7oMWbbYarQQ6TbVo1INFNBuhYn
rFQHI8Ds5qQXUdBfmrXsa1Hv9U7nFmHwHf0OxhVeAX3BGCmHHNf+Otf94QDzx08ON8USyiUaG+9q
AyPvS1Kb0+I44gEN52sZylNU/hQO/GNF7fx+YrccXSNDkiIX6rD17j60fQpgN+2HY4XgAxOKvtNK
FgY5AFmZDIPhB9JwL1VZeVHga5sdeTfaoxgmVixUGpF4SQ7DcOkv+khzrgp2pb4kpkWG9auDGPMM
lUBFowyPsRTvp4DJwajy3pg5IpzZMRYhF31KCVBTMsYeC7JArGe4UVHS4JPQnqVGXQukiseqZLoz
lZpX1oxYofKTBlBxtIlM7Gzq91i3nibLcHsRUzlZ2SljMBxQ1ixtZWVMTuWIAn6ZkPCGCqLbyCEj
QInD26BX8ut6NNg/lPBg5Aw5MDZ2W5MoWLqHXi36fHMCB76S1TN6KjgEF1C+ipYdAvmpJ4vYsHas
iw+2xPDNGpXtnOgPmdZEflEVuJ3MhpwEmQxYjh4EoacrxjTlapLybdNhm8qVad/Lw1NKCvPznBkb
mWAxwOfRqVouoNbaek1bHYuXOl3mppkhflZcbFTTSW21px8/c+Ds3r8vjuXwQmJ7MmxZwYH9toIL
NKnEPWnA2VHUJ81p89UC8O1oog+CzBQ9hq1BTAMhnYpJ5lxMFAAr6infCpqgCL+hGrannbS446Ke
GqV9r+lFtG5zo173uGt3uYGLKoQO7BLCxOim1MlNZlNfkaoohjgS5xEWIkauBSnGNGBzFLqMQEp2
g56peyXSf4gPzJfnpjSfHNUwvEEpiULO1RtTnTk7A8DR4FabJN57jSHhlR7N+8Q2d2OgfjOtSaB+
WQacjEC76TpwkoM1NF5dalcm9qcF6kg/q1fGQCxCEl3VsXGZWyjU5+4ehZgOQ7+UfbNm4BGB7mh7
5My20cILw/0KGIidw5SeJJ4Jr3K0B0WT7pVoqBnvLZofWfJ6WCQC6KcS4HGzkeVkRwi3j2gK1+ew
0lM8PrY9nlhI00YSYNjmhUa7u9aAEzn2tGvL+Ukb5edaa54KgG7EWJxC0lulQ3pWgvy2CnM9Qj+L
LAbfMcJ51Ykv0kpKd/QA/LKdfTMLVnnFgaY0Q+oSXsZBci4wtv6ILSlAfC5U+8m662Dwmm20Uom1
UxS0Cy1WcQ3ppA20zIfL4Y3ihJr20UFCypEqI8ZxJMVSfM5oi6xO2scpUEF2cXSCW1vJHoaqXdfk
ljo7nRRMhV0zC0YGR8ycmrxa9VKdMOSRNkSenCzEgVgO1LNRCUevlVl0F6SLiWK7BokoRG5twwIz
7lgfCuESwB0tMYuCgjdn1l4PScoQEgSjFCy3Kla8kU5eVI2nUkuVkJGPqwGq6C0h2Tg3Dd/C8Q1/
Dey5SSanvg2s4a6SJay98qlpYCydAv2AM5dpWBCQv62SHdOCOPOsBIvoOCyrinPDtpwhe6BV2aLb
A2pSCsBnAEk0aJRPtrZP3tT33S81cubEqdL+SASNO7SnJDl605BDaTxLm1OFiuXjteH3LuWblUHo
dl/3kVTyf6guWBnK8rtifRumy8E5FOE9PoGPLyRQEm/3bNYg0QSnqY+VRDfEzviq7za23VAzHJ6O
i0IqD4xyGqKBem20YbmLStqv6TScVFUsu7CjlVO7xmxuJiWa9gR10Mjv9ZhX/MAOc4GilkQTrb8l
r/wMYdVVxvGNqgecuypiv6ZV0YXrvIsfi0S/k6Ksugx7gsyMKOo2YKxPDIZwHCz8WZFHjyPepug0
685RnauKwSqdlH2vdbtYU09IXNoZlXM2puFJw7ZtMWhM1YKXScLmZnsoS+/yqgG8EuzGCpd3Bsoe
KezTIs+Gl43hQz05DZMiuIdqq4WffKtv+y2iyfz2S33X+01NHZ9+YE9He3qMlq+z/Um/97Pf/27j
gFLKGRnf5zG2r6qExBzt5pPH4uOnwnz3/OVmnsopqShHQz2PdSFt9uVo9j6+iPgW/u4Z/fqWQNlx
JGWCYb579CarHQmO5a8gNUftnrsx50xyE0/WJ3fjpf3994Ve2l8QTgyFrRYVPCfTt8/4nMTFGC6V
euQY88ymtrrO1sFK8gc39u7cwr3bMbs7fL2Mveh28p8YBnzljW632u7jP1gVfba/P8jPv/j1hv/u
AOgMsVM5IctIt4Ya5Mn+dNVv8oto7fiOlzVrZcP3vFa8xpXdyHdW1eDrx+L540/x0kp//ylev/Lv
JjtZ0Ga22vC930871cd2v3bOLfes1d1otbkzvIO5yjfOMVpPW0zL22sCWzfTlnXPXTYldKIVrbOV
s5IO/bbYtGcRuAM3XN2Wbn+UvXlj7JxdeTJum5t8ffXxR4dj+PsX+Pqjv/sCJbWNM5ALPJcu1Kd1
+71aV9fKqvYAbqyiVexD4diXm/Png9/vYJFNXrLHZbYn+Mlj8/GhuXwLvNuPP9XvLu+3r7v5bhQH
7n1oLJNPFe1AGXrLFjLMNYk+Kcgx13QDF0Wlm23sY71VH2mk+R9fXzy+v9/Pv9+jd6sNS400t9U8
HeWl9K1xPFmklLxjYjw+vo5YVT66zrtVx47JcBsWVJ6cqd1hfJan7YjLTsM9jr6rWn98tT/f6r/+
qvcdZYk0c8abSX+MLBB0qKrCi/+3C7yr+bTJRrmETPaYGidqQh/QsVYfX+GTG/N+QiPllV1YyBuO
JYEOebqu1PuFILePL/LZ9/RucWuVrE0GK+mOk7grOFec6d9PzsR29vetePeA9eXS9kWbz8dxmCAl
HPMUa1x+/vHf8cnTZb1blcwglGaac+wGEyFsDglRWXeG58SzyJFJRvU4QDP7+JJ/vD8G0QAQVTUh
MueBf3X2QauuBVXc9UeduOVkjf6SJt/m42v88fa8usa7lyYLyTetI306GolO//4izz/pKnx2gXdL
4pLmE1E09XCUWbRpRoMU/eRretkfP3rxxbb26nuKYoY+QcZzTG3g1h4Zr9v0lBLB28Od9sOz/lP/
vsj3/HCtEX/1q0sq9P+UTo3Yo+5pDCNC9E5Dru2OT8ph2Q3u+eJV/INr+CS0u/aF5F52vtjVzx/q
c21P1Q4R2oeatyUxcPMZXuCPG/mrN8J8/+TEzSgjQu2OypnYyCW33WT6rlA8N93oq7vC3cvufPJD
/kpx1tzMJxiNPlm9XsbVH92Ud/d9kFozqp2Zs8RqWEGHXFzVdJ2TbHUJcP6AP3j1oK4hadOxXTeb
akOkyScr9GcfwXq378ETk3RAvt1ROildku0XN/lmrAFtnfTfp23l5wdrQyLKj/BB86ZNehauku8f
v10vhdcH38L7kI8Uz5reFjyaWFTXTNvdWJzqdql3jfR1t0OY6S5HiPJ3+BNW+braWOfkGK56P9qh
mXv8DMHxUpj99nn+ft3fgydsyWE2VLCk1L6+MTcmdvb1sl4O8YniPuO2WMON3FVbmnqHybNufJvT
QeF3m3R9Fa/EIeH/Hg7+G92LU/5fLd7VE4P6n/P541P+/f/87/Ps6fl78/vMXvzUr5m9APwiz8KX
+uJHekd3QIwEtdHktEmfkeXpl1dJRFPgL8PdhGuOkpfN8NfMHvCDAuOQSbsqqMD02f/FzB4exJs1
kLJF1CwsrYLvKyJM3hVhwzwOeqdbI8PgAaFjByxwmC8tEXVJYNFZrtTJM4ntBcFc2rXWaYk3aFJw
hRr0hxTJaxxVuruIGM3QroEKEKyZW0ioqUy/NiGhm1PG+A3l76XuZOFGdsqA1kpwaouwzqiyvvZa
fGUOy10k4jxVEeypVro3QQvbpla110T4Zy5iQDXyQJdMveJaJAEovGBjTy+rJzw0sfGUBKCwu9S5
QciGAyENvyWtfaoj0JT16SwK221pkeg0oDNXI1le65wziQMazicV9T56JwISRKhpLhIcQhHJWXta
3Sc7PIBkSFbKVhFxqE6H3TUVEak9RFdfS4ONKeJTS40g1aDSrxlXugOQ8l7TfOYNkHxF6Gqczzsi
OHSvE4GsKNFuDedbXgbMvwnbJLQVdsQ9YLvYqxIwWrqG2KCfA8woA/1tY5q/DzLhDIq1tjQSgBw5
ug0Vpgh4g7FGoBdG40oXdtkmqnU2xtbREmGyZXNbEi6LV+sEMitiaObsmuXVhNBCOrtQRSptaJiX
Nt9QEEO9k8pmPWbZsdGdS5NA23RagBbKjuIaIu3WIfY2V/WHBDWgWlkYbodCXwPDbF2HsFyFoCUp
Q3RuLvJtTAabOxKsuxCwWxG0i52GqAjIZi0RvKQtP05E8lYafgsiejuIF7Ip3YObeM7QG7kGbVCv
qUIYFcIRwFjthzXPV7LI/oUPf8ptOow0/GvaqoH+AycDeWD8OSPJwZVFhDAjZUIQSOlLyGaWSRle
EmYJTVE+aoX5AE1i9op5etL7kedLwclDJiB+g648KEP2LeCJdBqNyDsIcQoJx705b0uz+zZIEDDU
SBO9q00Yx7SogvqcVlKHpXeYVpZDyiGlUrKSRJzyrNkIwJz0Nun4kpYCyLMREbWh5+plRwCtU+Xb
WRYJza0IawZ4Hx7VnvTq9gEQnMY790Ari+EM+OkoRCi/dPpNKTKg57FxdgG8Nbe02mkDwRiYcD/q
Xl8rnElEknRMpDSmus7BY1B3YJyjIJn9Lk/r5WYwSuFsHiabQUQYpPoVAX24wlBv38Z6IkJq+yvs
/gwBZh0buw50cMQpZyfJyiqczVyN7UoihmnVjU22R/9s+fkQCHuC9lAORuIvC69bFvFIF2OH/Xlq
6P8bmifF+Sq0nenKribTLXHrTNHyTaWtGtehvQL+tpYJmOkRKTBcpw9dgCVdpZDwiPg7TrrOzCD2
Ftm+i41iTXxdgD4CP1NH0w7uZ4NXIZvK8yzu19Ugdd4itfjEsONJQ7fXowI4WzrhDDav+HYV2IjQ
N5PmfKr7GydFMMR8wwuD8Wtr6rdlqd3nsgUkO6D6zzS8HjVqGbxTt0aERKBc8sjDInIcyet1i1Ej
IjrKDvK4bPh/VRB/gmTaGQ9I3CvEEJLfaOmPealvqsS6rer4NGv0rw14HU/OrTOzc/ZmX8oM2SPN
1WoUP3MXSgS+K19J1r1khnng5tUQbcAtd6l1kw+ob5ZM6/Ba25GPQH4F0EkHSONwTkrJXux4mWZe
PWsRlFF114aY6+Oou4Q4uetVZS8r1knQd4fUIFwRCj0+UJH+DunAcbWYgI/eAt+tIxkh4Kz7LhHZ
QCh0zTyhd0ggr+RjETi0ubJ+3qrYK5YweJLm/BCly400ayqBjPOzRP/3aoaU7jUjfriWROB8dsTg
rH4e0f9iy5Irr8yLG/IlT6Kqeo4BowFxkfPrqUCwVag3ltoT61dxNzIrWM99Kq/swGbZGHdWXgXA
UHts8+wOVffsqIw02zzjWcPJhOQpQ3zV7BtZAUUoZ2Hh6yKJqX3ByagvaJmXg8B/JyIh6/vnExFi
xv/lwof9I/OKn3x1KkKBbWhoBR1s4ULC+peSUQFmzfEG5BTicBFg8NepCAe3zSlFRsgC1sqi0v51
KDLJM0HjYGH7x/yvGP8KWE3b9v2hiDGjCEBBS8lriuzwbWFI5oZhDKktAVzP4USz88YB3JvMxGwh
HKmpNaMhxKOaYFaFdEXwpPCvjhhZR+FozbC2LsLjWgm3K171krBXHLC18MLGmGJHzLElJtlKrk/n
Xtstwj1bCR8tM3Y3wFgbYrDNhdM27CDevwy+MOGamHFRlrdAreULR/h0UeqwrSUN4FTrx6STaZWM
1VWuJjeWIlbQlOWil6zFz536Xu8B68ZKtUL9N66TsMKlWErrok57l6zizZiSzokNDJFTn++jxRoh
7gdlKJQ7TENJ732sskGaL5KRae86m5QxxwkniO8kQMgVKD6BhndgxJcCFl8JbPwgAPJgOzh40MYb
BFw+FZR5gZt3iszLBYC+l5NvHUT6QAZND8HQcLXumA03KhmlbEEg7EenZ5mAam8JvL0C5z4RwHsm
LKqP02rw2nI4MYO23ddy8RWTNyqZIouY7XKUAPtl5rp6Uachw+7IAgoxp9cywrbU6me3nVhMQILd
F3pJuKhVnlVkuh8gjM2eZDl+YTlnWohSJyuPrdJucjzHmWPtJyO4txyZjS7V5l1pJuu+0OWdwuaF
o5HRrNYRMhqYWHnkjLRmPs+dHZKnOnDa8iu+PtdWyEDFY56fIbW+5iw3rPOKlFFIBif6i8mxE35H
QhZwoTHlxAapjDZp8vOF3AKWkU2Grgjd4C1V8lXI8TYQfsoFInmNwVLCAgpm7MJIrB2MgU06gA8R
jswBa2Zn52cE727USZ3hmxHpC2K2HXGuJwaRN3lyh+ru2iqjzTjat7mwfzr4QCf8oOggDg3+UPiE
94RKb0kObhiAYSE1hZl0QRs2DSP2UmE0Rdx0MIX1lFtOhGyffE/YPIeGzybNoUEyA5ZVE+/qtFjI
VY1HSDY+gafs7H12yoZyidygwqGMAVaTkHr249dCav28vW56BrZO7VyEOGerFud7tezhFtzKTjKu
Ejy2LV7beE6YjuO+Bbf8mAs7rmSZwABmsF04dSNh2VWEebfGxesESunLME8XczmOMvwxzhoqvt+y
lci2nVaqbXyFqwvnQDiEw+hsxDFcN6hAcRBnNVZiWZ3XtTAXx/iIA9zGSV4AZsF+DIz16yAMydoY
HBxhUdbwKmcZ/xne5VGYmMcm39m4moeuOOG/XPAeYni2hPU5fXFB49OaOWMLb3SEKUhF5BM+JDin
CyOhLBJeaqndYhR/AAm+Hp3BBz6wSTT7scODnfe65DHUXmlK73W4tJuwup+FbVsVmLtRh+KJo9tW
aqahwuTdNNp9jOt7hKCfCRt4aesXGr5wSBsXqjCKz8twagjr+ISHPCgaewegeot4ZBPb6V2ipodQ
bm+sopLdDKhRhx9drbLTCH96KveEeOvkc3Mvchzses6rJjdg9lWAg3m/C2dqPXSe20yFNIoLnodk
XwpbfIQ/vg0QYAjDfN8P97larxZhpR/w1Jd468HAnEDE5ww2Sjugx1sZF37X1LscV/44cKZd0gPK
uE2XLRedsO9beY2OuzmZKh5ZG8hb3mY3AY7/dMSkVBu7DhJAqxM6DRlA0aLbAVKAATGA4XfmGmaw
HgysgjAFUmTUioAMLNAGCNA9EAayLwSGoIVHEJXpCSToxwlOAYUxUS8zCNiylr0EloE+xOsCtgGA
jZMY1sF/ZxMOEeAp1U/OJvRvvKZffu/YiJ/862yifDFsWizkfmKnIPHs1dkEPprCVszFwDu/yU2z
vqi2+TJ8NUCgMwR+fTiBDWsQfaFY8s9mzr/o2KB3en84wZADcsA0Mf9Y4qO8PZw4wMfN0LYxjU8x
GY/CV96oEBqzqbiLG41iWbjPW4avXpZyWoYbsKsNhcgjmWKRgLI9zl7NzSN0mp3cb8My9GkRoTxv
SjbzAqkQPmM/sZKvY9CwpQt//FDwLmTCM28J97xUzc45PogbQ7jr61GbYZZBCkgJvgk7qpn4DnP4
dZ7HxZkldrhS7HW92PXkSSFPnI0w0EMUgY5zYacUf1OvfucIQjSBKo3XRe1sTXbApJrmtTwVvtRO
l7UCg7Sssl0m1cehwCer1xtDbmlJGdMhtwQwi72nmcvT1rDoSHXaJsWAST+nfZ6hXII0DAdC3OfG
0+KA8r2+Am+4ppLDwo7vtm2aeDdk1qOigDwjOZ5xEI5ie6GnOqFx7ie8zGWsrCY0UqusEeDP5TII
lXlrSApfTR8PJ1nMrpwb4dGp4r1jU4Nhp/WXTvqWJJlDkYvBISzjzbiMsVcHdMekIUW4DVhApKuv
+8w+10KCmdC8oVCmgGSRvkwqC7bmN9Uuf1j8un5+qZcp2COlfYo4dUDw5NSgWx2bHkWXRnCEiz+N
WHcURHOmA3GZ261dOpczIJ/zOldO6ymZfBk5JIp70THhGd4sqnqto7OEvuKsbMm4wWrm7OshoRuH
yNKsg6PcVijkgnSNwf+kLbvzMShXXSZvMOOvy8mBkGrEd47e6mjKVbKHQIqvnIzE59g6nev5Xi3z
tV4Mj/o44/LXhsuhpX+oLON3rjz5k5Z9H6xaOQO9qrm1MuN9obAP0ujU6aXgMGjNV2hHSAoaRd0R
TWs+RlJu+bVFNII/Fy19yAXhNo2BJhmqYzhI1r4Ky/ZiaksVQeccdpS2VS2xXtvf7MoegWxr2Myt
dVNN206jujSILdCC5sHR2dYwYcBcqbgEssCqT7fNyLiwN/iK7TDAuBotN1pVKq6uziPIfesKENtJ
p8zfs6hOV0pqXGYBESPmMvikghzVCCKOgyUbDc8itJffkqVydl1pfZss2nBY+zGNDjhHS6W9wFbA
V9ycBqlsr6xmrPbEpEBtBSJRp7pP9JLOE25zgp9mfmIaSjoR4YywLviRVcE58niS3fNOPiNXsPTM
Xgejt2QntVrI/oI2dRv2ODowdFhBsR8TtV0hznpIqqUnAbbrDpEuYW4aG+O7LAfpdSnrFaYXe5bQ
MkbYlv7bnV52J+3DWYKonE+fuu9/gkW/HieoX2SQmhzzLXCbNCnebE6GqlCuEv6HPF64A3+NE6wv
lkyLH/WTKRPp9zrqyfpC5jveB0OhCjfFpOFfbE5vx8RimGAjMLbxIFoU8Kr8bpiAdrYHyT+PZ3J5
3oS6j8p69WrL5kw2h2XxOuiJv+/1yNbgmzQtJikGf6GYjYhxxquRrTlaqdZbGJ5aPdnH1q0kA9q8
aPWtEpyPA8WZ//H11PdqoN+uKD7RqyuqFDYxHr4eHAG6P/tl8QBqyEJSijVlbEp7P3RGhWqTFac1
12ZCrmcdII2n19pZAKtZoVgI1Z2pcVCda/hdSstWq9nRwSizWziUqVc1Ms3l9IczSffwk85LRdVR
m9JtTkL8LQU6cux/EWUeDkKa1XHIkmRu2jmL1wZ6tHVYxeUmmCdk1rQdXavpNUBMMhwONb6SRhu3
SHxpD8OJY2gleQkkFNUBdymBnhPQpa7HbqXPKOOxbQRQ49xA0rYER50P9CI5++wKmQKcVJYTSKlu
r0k3jURZPRSPw6KdT1a0Hayl9ZWu3RAksdErex/FxkTMdjmCf2naTRDNp+hzlyurk19Q83NbXJWE
vWzNGiQk0J9tDUmtu1gq+En4gZqpPMtC/dBRRZLntxjEN2JszHut5nhtH0wT8a8OT9SKd1M6njZO
gFEhPc6LeQcXmuRhoMWwXrR1o8bPhFt+y6TS8EdDP50qfc/AYDWk1aGDU8qMZDdr8bnM2KcI6lU8
Yaecp0NvE+TdLQQ8hcZ40g7yXd2rvq7TE8mL5cbIMA4E+Zwe4744L9JuA7nnmC7pXiYdk6gHQp9S
gKjwX+3CbQeAxjo26jaxbsBDUTFLcrhW86rf9f3YbbKAzCc7rudDNpfYFmz1JMu/OdJ4pkf2Zdtz
rlOiDKZdhIwPok6Qxed9IV2NA51wih3SdDLfjh3KmO6bFVF8KGZCYPToO33e04NXoHWZK3A1F11f
oj5kJzdHfTM2w1rWg1VnMr5T5FVZlldLoZ/nQV1zDqKs7rJ0uJzm6NIMlB2TtxXb5r2eFt5kGQ2E
IIleWNz8KGgd5XB3NOjoy8L8Cm4FbKHhuwxYtoClVesE0bOCwV8TwYta7JvS6CpBeE7G4alOzkdt
5JtJNvwMIXc/BSdtW24bg6pp6QApSEfIHiuVco6F4mKmmUK3SG5dTQ/W8M5v9aYVSdi5VwuEbmFk
85ZsnWzXZNDAY8RL2izt03a5bqsRsnzWHeOmvEoGeZUkgPJ6MOheb6tPTp88QZk7LeHouiB0Uo/y
d8bKMkIODwZ7+9+m93PTY4v4rF3cFE/Nt7j4087HT/8qyxT9i6KJxq9jGz9bvH+1jMk/tGWWIF3G
HP/TF/9r5zP4F/rCKHLhtb6Ns9a+kLmALYamMX1otsZ/s/NhvH6zMxkyIBlqMZNpOkEJqvZ+73PI
wqscOgJHKbVVTm95h2l21nbmMNePQ6NR33d114BXmyXL8sJ0weMQjHWb3MDbTHxnMQdmKY2qrwgV
CwkiMy15uIC3hkGkx/EvgtbIiO5VYuSGRGXFxvSjTStShwI8vpZSLzCwsI23m66SsujK7rqRdhC8
Y7eQLNl0l3BJrnMqghsg/4lKeSjPV5FiY/JVkyRaV+QFLmWXtVsSRxneGb11WyiDBGww6YbbKsev
4mpGtcyeXrAnelJbF5CAKiqWdKiYqtbJg2RUrNOO0uGoGrIAJL8S2i6Dw/h0aWu79/JgyUPPjs3A
c0p1V4Ry7uVa0gPhsfKjZRbDZU5Mtd/gzNShERbDlmO/gWmmth9VYl0Xz+mccqGB2JuYMewYa06C
mOuSeSRpWEuXx9uMMLDnXJU0yIc6+4w3y/Ql1TUlQgKQXtd6WJL2oHUbg4QEiSPvJA0PcPkUxU8H
/B16ovRR4SdOhLDAp22zDJU7j9qyOFsnpH/gz1UTbiwSLC7aZiBO3CnaC4cw83WSkcruZq0eXefC
5KOx1pwziO+t80IKB9kPW7nMGTKK7PLoJcfcFpHmadaq19RPWU+3WgQyjoUcZ1v5JatRskVuY01D
fdrnVqyP383RDr87Iv4R1mIASzEiFzIWEZGtRFhkLoHSSe24vY80pWrOxF5I17D777j+E7xhfLhy
3aID6v/E6xA/9teSZZPTDSgHHDFARYbhfx/WQXmwy3HoNljPfp7jfy1Z+hcmBuhxgHxA53jpP/0a
c2lwj3UVhrEmzuzin/7FYf23PhI0DdHXoTAAtMVc5e3BdpJ5Fpum6I+E1Xt1g4sPYUJs5z8fkH80
pFJOvFsZmZ/R/dJ1sMiolmT9XcNKoW1Um4leHeXecG6gXUgmwTHEeG5pshHgqb2EebZtsFzRK2bZ
ANt1R2xs+FCVib1vRBKowojXrX7GgxIUqr1Ehpov8aHDS5ToMNXEio5BPQxUvvjlBpqoxK1K2dnI
oAi8Z1WVql+OGVBSOAQsinEbFPdxOpOHYS+NvGqLZyPTR7QzFXDyXq7wsFZphnksmDQvI8laygQJ
xIrHUjuTB0EIGbLkrBHQEJg8kxc555oifzfAihR1uA7AjFhDvUUYsDEEf4RxNjqEKvYdjitO7htT
vgvmuQb6QLZ1C8Ekm+sfkR1dcgQ+KhBOem24IrQmxwTVJA8WsP2V8HacSlbVHOvWMPdZ7JxWDlHj
y6IiVpUk7YeetDQsgojtpKtRSA7sD3EmwUxhcqR1zrEtQLQvKjGeaIbUTVdYN7Mi3WOlQjGQRDTR
ui5ULU75rCYhQA9fteXYB0rEr+ggh6Zmc9PoHbuPaRfRJaICye8tpfGdSZ7u9QybgoV0hgCztG9W
utTMq4RWWW12VAUS3NRXp4Y/VIUqL9mrspBy0OHXoUGCZsfLwWP99lmGBE22K5XakaHQ09i4yhVV
hkuDxCPXfBsg1F2FPgwPv/GR8+71tear28BLP3nWX7KQ3igzmSVTAzPapm7UwY29/Rz4msc+bKPy
GKjhnvTfyUsBMOBP1XGgW6lD7kQgqhGzIVTclk9Dqwn2CvcImHDuzRbC9IDoFVtdHgFdOutWRXPW
ddU6sJdHy2DUC4oaccYy3dVZRTRpUxOg0ibaasIMS3EAvwVlij9rQHaVwksCZlq6HdAEdrYL8RGz
qm5wpyuoUhqxW+gkOxRbxnGrUqMDWpIyP47hQaXb5qYFrU4Io26eJ+2Kl/g4To62qUOMnNjZbsKx
3CpaftpPtuyyP21k8mWxeNY4qOXk6uNb/HYR+elqggWInNDhIKc57xYRZ1FHxFJBc5SHPNmwECDK
aeQCOVHko2UCN1N/5tf/swD71TXf3U1pGqxmSMP2WIfagxE0HpPPcrW01lbPe0qDQIbIwtzfokoy
srYjCr6YAUoi2aN1eihj+16OAULQ3/yBxGpNTAkWcPNCDpZnI6wf8xGLdM1p72cw3X/iE4078HE1
scYk/Ry3z38qJvjhXzuzqjKuUUAb0rIy2Zpft9E00RFDs8GQhYJBbNq/dmbrCzZQSFnO3z/1a2cm
gZ0EHOGw///TRrMIvzD4n4jVEZrh1y0ng8xJOwma5Wzp7mpe3v7Xqe0fN2XxG16tU2Jx4nfwaOv0
nbiEWE9fNbXIZDKrqdKUs5bgkkZek3Pitsa3YfhZ1/7jdd6uy4y93l3n3VtbSqT9NoC1zww6DUpz
GK1vr+7wn1b+t6eY36/wTqoT/g9757kbR5Zu2VeZF4hCeANcDHAzMjPSMukp6k+AlMgT3vunv+tI
pW5KXV01jbkDzAW6fpUg0aQ75zN7r63VhQ6pQrvok7MazAfHey8BIHrKxeuHDcFFfjs8V/2uj6+7
Mlxp8RuNjhDXennTFXcCsUNXH21LbFw4T8K86ZO7kX3F5OV/8VRo+l8857yxPj7nRqyEaCXlc2Fs
aIFWdfXUEyYMnOMyIt4MwxSN9bujEGrN/7p27P/5UyX15P/woiP1ljNgijBmvj//AsSHat2gOvOF
DRD2ec1rslMKxRCi1reBm5cQCrdPXEquqV1Z/XirIQWkCymFP6jK4jdWjUqggm2x7YTEBlEiB1n+
Sc+NwxiqLXNCJdEeJoMT2kg9GFahC1mFuKUGEk+F0EYf6q3WzahP5iBaLoNNfJJAR8kupreXAPDu
da5fw5TdhvDHmR+J9r4VsmjJiGq11wOES52AJwJgfAeWxpxU5InflzIAyjbQKdUNT6JGdlF/clSq
JuAB9aeWW3FW2CWNBVAj8yZJzgm5MwNAy4eci6QyQDmU3n1nytkYd+zAVM+KhQmKtHbXqpubmzLN
njuFENF8IdIeisw6ZTL556/QL0aTb/Pzjx/8XyvlMfbapJva5aIGxi7cL6fuyQggpl/ARpy6HfiL
jbv2fOhzuKIOOW6T6VnZp9suUAP7HG+Tv6CH/HLp/sPHl5XCx7esmWW9k8u3bJnuobABcWvwR21r
9S/qpj96Z348jn458Nw4X7II9cxFKVbZ/fS1Fn7c++ypmBH8+VP8C0Pw+3nx8UPwS6Xo8YlpDC/W
LxETy2vo/T2aVGQvLa2+Ly7jXz20PzoBiVVlNkRZyObllxMQkzsrPeKP6UKozpfXQfkLS+MfHYAf
f8Avzx0aNSYkQtcvBHz3oFxGxUfO9hcv0F/9kF9OWW/y7GVGmnnxhuNSHzr7Xrc///kr80dX0sfH
8cvxOHNXNw00mQuKCFwjI8q2Wy+58vB9f/tB/93V0TkGONOW791/yO/8pazmJhZR979//mP7/c/i
rZTuoJ/+sPlG8rzp35r59q0F6fKjV5f/8v/0L3/3G93PFX6jl6/oJdCHdk38peN6YQbxMyuUN/Of
lkdS/5L9MWaUL/1bcaT9prNkZC4qPWbSYfS3Sausm3Azwf+1GE/osm76e3HEbNaWNZDpSGMSb5Ef
xZH9G8hgQ0dNw1Ce1/hfCqRFMfPTPcYp6UpJrYoE2EJrY8pf4uOp5GhCy7LGKi+6CwkO54Dua+M8
o5ODlahPQgMMlG4zFJlFXjAn9YroOUetmaOqchF7lag4HUZviaVcFiXcqBDj4PA75SmT0k/2GI8z
WlDXq1CYtzJlVek2A3rR77EFHQSobzLSMnFuJmGgiiSGr1KhdpIGtHatUd1ok3q1sNFAYGYOQRRG
mZ9abIAKtSNgRQMbmNA3aAIoPblQS1gi+FStctfbY75WSH2bZgmpmoGro1OHtzN1xH0P6sOgdWsH
F8eoQ6XpPBOijxqTndRYXwgrivwq5/vWHl1jPxDYSkoLlUWRfPFIyt3MYQnLEuEP4ONoz4In3GcV
axg1nzZloaiBCvrpaFnKeCJWyZMeAGgnTfIQ13nK8ANBCvvCC1mzvpXMuKIW1HR2f9/ENTC9tH6w
HXGpkOkAWCEWZ8LKYdRhj5656NeFAvhoNNXa92RybVr356pKKj+dy2wLJzGoGusAY/oxTwY++LIi
GrmLF/BbjlGDBUvjr4NmnEWxXC16Pvig8o1VnzSfsg4FbV/2qzSuTn3kJjDx0J0wJvGVZer8MqWe
asvEWFUdnXKm2/uks2/ScAYkNDIJ0Rexqc3c3Y5K+aXW8XvpanulG+PGrJUA2dQJIdOFHfDRMECF
YgY91gPvmbBvr+vY7lYomDRfHeZ+Y0qiaiH8NumDujbOjhVxPXul4qOhKXepBtipUoImUbh7yva8
pARPWE3csHWyb3VbP3ug2TbNjAnezE1oT2TErIxyiVeZ2XFJpSrY6jHctFRGkwfte0iKszDDz3M9
zNtMcQPRGvba6tRHs64/J0YNFQ2Y+lx3NngvcSNG7aRNUMDExADJ+9rYI3pwWlSEOvZe1LG2Wmzr
1PXtJYa4pdyUpZMtb/NEFqOTS3ht9ZiGovaZiB/beDHPBci5Q9J5z2WKuNNqkNTMfkMwQbWILctv
dLnjweuUbaPqx5Is87gsD1PSXhVldj0UgDrR1RC4G/akYYbW+2IrPWvv0TCDuIfatEIstNzp9nIW
NWtkLYvHrZCr5dGw+blmUGVI1+XyGYbqbmQb3VjPrVxO5733ULAWhfh4bHRmLnln7Uf22aJarvuF
EdAQj+R+9DccdhgKiSrSLSZ0MRSAkO24QVgU26gS4W13LNmfI/GTgdZ3C442kmVYsUdy2a43HR+U
3CkCT2jMd+RS3mA7DwFP7Gq5sNfl6r6US3yl551DVhpLGbniz9n1u+z8HbN4L9EA5FIMYKIKWArg
dcREEnuBYMCS0gFVqp5QhL26UgflIYgic4JjQlWvc6mV6qVqakQ+ZUgdlYqgqpfKqtyebg2ptTIQ
XQGp3dam+mlGjIVxcAsQDjil1Gm5JootJhxPhdRwkW+9rdw5GBB3qVVz7SH2UhG4L3JnbCEDS6Qe
LLbTXSkVYg5SMbcP1/xkmKKeea9JNVkkdWWLVJhVUmtWK/p5kuozBxmahRxtkrq0QirUHBIndKlZ
i6V6zULGxmON8TiR/eYRSRfVaN06qXoDq79hz/MuvC8xorgWcVwqVXI6H0FiNTJW1e41meBbVSrq
Qqmtq6TKbpB6u3FIgkgq8GKpxZsR5cV8O1eq9CxLHDJkexEzaNYvKPlMqenjBUXdB6lvKtBD5xWD
RKkAJM1qR/gGmkC3EfuJoLVQYdtiHCPPtVlVOZ9R58d7juOVkPJCYU5bJarvdHSHlFINaZx2v5mk
KNFDnQiDNGabZgSNFC4OzIkYxje8a6q7Hm2jKUWOilEHPapHK62uRimDrNBDim66VedyA+Nz3rKd
PJYoJxVI3NB85347oqpMvX5atY5zk0cOtjzpQ/h/UlAFb6W0Tbc/F1D/X9dT1KB/Uk91L0XcZi99
+weVGF/5t3JK/U1OkvB46z9W0B+8TqaUEZu/r7Sp6X6UU+5vKptpnYBLR/8WS/n3cgrJllxYS8on
4Rm6/S8trg0pQ/swFvheTlHTsWthu8685pfCW3EVI22mrLz0M6FZZzbLVnKlmWqib7ouz66duB46
P8+sK6uqr7lfv5giIkdKz+8HjRoDl9Kp1ptnJCuHrC1uY1YZnaKXABTxeVvWuZrK1C+cMRAGKUhN
m54idXxakuLNizE7l4Pe4pu0yxsyELdajuQporXvoU/i4kWxkXXJuUN7NaG/Jk1+KLRX5gwr/CUi
28I8d7W96hhNfNBTuxNBqimoKtXBsznvKyOBjaSoBgR4ULtO7ORB7WCzJFfLvDfCjkMmzMekh6Au
IvPUJHH7nIxhse6hPujboR+Sxe/65Oi0hY0XzLPaccP4mej51m2QxRbOsGzqRqj1JmeeJ7idp9fe
ziNCu4onp7JwWURj4A4YuqrYfqlCbN/OWE83iZuNWxkcGIdURXrbcVIRpFUvzJUjj4lEiP9JDR+V
Ztl3jnI7OLlfDCNGhmKNs/U0jRb9GHFrbmX7Tabfzm38Uinlka5dWZVdfwaGWKwchWCYyAE97mm3
Q6/sbQ2rSFhfuaJ6142GTfG4w1NyGO18J8L6JDzguvp01ZfEUc7trRdlO2LdHlJvWEeWwzpFXGzs
TStWEHdZtRArF6+zSg1Gq71tOhcS8bhPbPMpd4i79NwXz22BLo+97+YEGiXee4HDxszsK4NoqrF0
EYstvkY1FMbttZd2zzhi1w45YZWi4b2KrpaSBBqKRuTWVwViv3bSn5axPA9kOJlYa3gtMc6PWy+K
rpIQj5bh4Tu3iCLuDomVBMiwPutWsnXj7lwZ3asoAXrLl1443r3ZaPjztcC1J7zfTPF7T73q9YiS
KblqyD7EFOR3i/JgRcY+S+QrDO21SvN9C7oSYNXKC+s3z2z9ocienCR6KNUIk4uyDSvrZJguqc75
lZoMuPln7TSa0+vAL+F7hUZ6snbCa37AO+A3UXcSjrZV4uk4TtG+bJHcu3Pz1jg6ZMbptplxz4di
sG7QXAWxPUZXdmieZ0snCiQDPJqnGQM6AptZ+AMhQJM/1ReVYm7UeEv1nrnPZJ1HSmpFTeZ9nSkB
VUpBMzdODqXhJGvEifS3IcuctUH52CUzbz/qyaoKg0lWmIoRfl6a7DzK2tPN+/uUYtRQDGeVyvoU
wm2ME17WrLJ6VSJCFbBhFxs90s6had6astZFtNetEln/Dol3nVAQtyZmSVkhV1GqcBMSZVVP2rmj
jKbY9C3KanVse2LQuOZjHdipJ4tvJIV+QTmuy7o8mlvkcth0QpIbKNw1Cvjcrq8qWdGPdf6lkjW+
vijox6j6E1n/xzQCVubu8Ukb60b2CIXsFliwdb5CLl4pOwk9sqhHaS6Au9Nl0G7kevmpk/3HLDsR
JV+uelqTiRbFlr2K4lJaVrC+pxhyRUFDY9PYADk4KBbgVKXPttlcVNgkxjM9+MzgmhMglx2SJ3sl
XXZNYwwXN+nnUyk7KtuILykt1mD3th9F072wLd7vZFcUtGODmxJhzlODJ4M4BFo2T/ZunuziTNnP
LbKziyw7/ffd/13+IZEr//zuP7207Vvxj/e+/Kof9z4SD2lgRgFi6Kb+k/pD135jHsIg5Pct09/v
fVP7TWOwYau4mTTruzP6xxjFQ8Xt2HxHh79EZf0vjVGkJ/qXex/1CWAauQhAhYkM5ecxytAjNa5K
e7ygamqdTTSECeZMx5vXYmapmunhsVtSQkjmZBjSR63XYF7jmo67fbWAap0GG/dcO3sjGYqT3i0b
yPYFGqSxMGzry4RWOycSogmXTSfw91EIN7vJ1oT37qm51t3Nbds22y52UJ6GM8IqLpFyBK4dKaHC
nWoLfeHWSkfq+IU1CVqvXkzaJtdFs2yYQuUwQ12jWgM21oJeTV03IIPWtB4yTYlsUCnNPtY1zMgF
0Ru7Shnm3WTMffI+Gu60FYkLXFaIBKUeSeMANtJJHJTQzV7jkK7Vo1NWVnM1Dxsla2zSN2PIKxGL
cTWn/BiYubwOEhS9LLkRdOrMYt6qhRlYc/Rujwq9XeG+J0UGsSJHweFU/F2loLdWBvYmk1OOx0hU
7dHVCA0Uca5jsAKmnDVK8UpxSLYJISvNOtcHkNeqwglu0dNqc6zu3Mbk7ArH4kVzs2VlL6U4VI2S
XaMujlb4sr3ArYq31CGmwsgMvMbRYAaYdcjppI5ZpYJWwLT67BoDJjGJXA2YL0mvqOtx4yKSBudj
vEXEdu+sBiUawyQcY/itNk0Jk0W1ldeKc3lnLxnZoR5XeNQ0784ITrfS4wj9cTK06xHpDo9Jd4Ky
zNuDZ6nJWleihMaT/Zco7fKQQtuO+0Rd6w4gIcsZ5xvCLa1g9MocFncEgnPMiSltTBe2C7q8Ymn4
NV3jU1ak+krUCdO3xlQZFmGcYVJB+Gw1YHkvjUSCW+obMdfaahJjd+PEDaAuYhM1f5nnFPK2zuRJ
9YhTHJD1tOZUbSbN6QFH4CEKpyLdaVkTYdJKfl8G/nfPoP/ntUwqw9p/fmz+J9Gxxds/Hpvyqz4c
mxZLR845DCvsZ40P02dYWmjW+I+h78/TZ/c3JswG0+e/OzN/HJvub8CbpMwXLaRnIpT9V0RzyON+
PTZZczgszW0XCpeu2ZzdH6fPonHGBC91dlG0+lnESGyXPnvVZmufaXmxSnCRk2GygRxBD+JsF0Oc
vBnpjAuuKRxzvMdMU0lyVfzG6fWtsNQtY9e7EcPzxnXK3h/EfFK7cG0rZbWKte4xdvXKz7QMf3md
+YPS7LK0fWGqI1bogr/i72j9SkFTK6zpOLnD17TXat9F3LtWoVDZ80COzFwsG7VXsjU7Fmlh7zsf
vxxLtlm1/Y4ZzrYo52sd8AV8+OzYTzji8Lp8MuTkuS3mr6VqHwjShBgxUd2JocXliG/ZirCJwUe4
XjztaQgZhicuZKEoQtafOYiAEzsB1yM4hfNcQKMP94botrPDMr6WgTL6OD0ukTh3TnGswuoY8ZgA
HjHUznX9dozT9SA4PdNCP4eafh+i2d8Cm8lXaCfwJbQD6a2p4q7grO1yY459zCxPyAoVJuOz6Kkd
8a+Ku05Pqs9qPT7OizkeO7e9UIMDVNSIrUjq5vMkhn1cpEFesfI2e6tcYU+ENmwgqyIF7xwJ/dGo
WXH38XghVcPepCm2Od1idrx4NAGi8cAQlv2toURfrSwsoWkIHxREeiTXoJteKqymZmW/tLNRBuQz
BVlPoHhTjXn56GlRcQeYtErfYrF8pfy/XQy12zh9VVJZN5HrvjRachXy/t6rXaHupk5nAdKE3sXM
w/Ywe6FvemD3R8fedc1MflOkgprG33plJAutTlzmY5BZztPIGpd85uhsTOVbvQz6Ti2FTE2Bs7Ss
/j0a+u5r4Fj45+ecNPOd+rj9X5fXuK3+SIvEl3848MDgWBrWOdX10Ml+OPCoE5nJGMj2+aR+Owt/
zIes36R82HX5C9ZhlsdX/TjwTNZt0h2oajTXlJ//Up348/5aToc8JCOuZ+p8P2ASv+zLG92w2Cew
1yHvGFP5Mabw+PDU/IGEBwDfT0eq1Pa5hss3wliPJutbpfzxSM21UmXrAVtapM6+iHpvO5EH3Wyd
fDpPBoUkyLG5DRZ0K9iFKpgyWudadzogMPZttFVnp3E8YruYXpz7RnHppXrDrs+2ragTCSI9ESJq
pUHBaVnOldWoEk8V5fmGQGM1mHBVBNQ1+mZEehw0EWUOOl80LHalrorBvk6cQgR0/Oq6LwWttyIy
gplpF5WgyAmVvSuaJXrPMUlsje+RyG6rKmSbfYtK9jL+tNHoPrVNZOaqcQfrDThIVU/1TTfxW8Q1
+E4S0ogRiT4ZlXaMpgg8Oz73Veqle2OoA6g/p7G3tZXTKVd9NDxaqXFfe+1dg+9eFMOjbXH7uHbN
siI2T3WDM9isT1GU7DUh0r3WEJ0mJvs4EuTjqjkhCqIM1BificqubSEqDHLIc5Uk7EIzObgp6wvB
asmOteKpn6DM2ukMmguAoBkyYHMz7S3KyowIIW8zw75ZdcgqGHQbKFanyQoKI1yO9Vwdh1AJpjzd
dexVAuaIzTo2Fl8s1aYe4zNxIuihDLMmYKQKlqXZh018K6+6ICmsYi1IOmkWbgsBtrBop2bTRKSj
Nd0xYs4EEUi1v8xD2vpzQ6yIqtvbqeKtCmUAmx73j+IWrLfC/VTV55HIhJWWRDytnevDeBiSlUis
O8vkqCc/q9+1BV07QDN9nYdm56tzd67tQfHBMe2HdJpZHqtvpt1/1cAgBPB48qPh0bivotSKb6rC
zdfaZMYWpjd4Ho6mHLw00YLWVb+kCjtXW7kiAe2B6VCQRaEt5ztg1VgjGCCHc/dmKIqtl+jrpGHF
R0R3bo/pbsz0wEV3va4NnnircHatOjxpSweenpgjmIOfMQ+dSxWsQ9xMBwSE1wvfdNDAvbg0KCbt
UaW86K32pijTvjSXkxEqO895nMLPpbscnHxxt1bCdeRYD/WCXnpgStWnq75j82USTm7p8zWiec03
mLJixveeM6E/ywn1umGj6JksPUfzUkc7IkAjn6qA2mCpt06k3JPQ9WCSwTEJ9DZWJK7NgXJAjZlQ
sZM/dqiL8DNDqhi0x0qJ7l03f6A1hZc4bh05pHSmQ+0ph2lSl1Wb2Ic68YLMZhbjOu2aeCtgRb3Z
3ZpjcuDxHYn4+GyAkgS/iK7RK6E16QARrnJzSnfENOnPJXH2n1q3ZBY1zXP4kMtUwCl0CKqbMm0D
NhQsQ9xF6/p7jmAn/Kib+1Wt0wOPMm9wqKz4qjcXEFzZt0DCvpLhhILEspIFPJmFrkwvXGSOIXOX
R6XV7c1AxGEYVeEmlKmHnem1vJkJkWJznB1JkqOE063bTsW1a9QkJ4qBDEWNMMWhnO9yma6YsPlZ
DTJxMfXMTzYJjLzy67oHe+dMpDO6RmafQ5nYOC0ot5mqv5qCvt6GGclHDoyWad2rMvGxTeY0EIRA
JjINcpaxkF352hMTmRAX6SY6wV0ESIY2rzKBkuSK4Q1LdkPSvQMhuGQWIj3BjH5ljNmznvTbiHDK
EihA/y2tUqPIZYGPvLIt3FUCAaol3HKmPksIu0xq/Wtud1NQEYOZFMPzYISBZZI+tMT9Zybh24rg
zDodtzpBmhqBmlZfPFkyYRPy/N2UzaeC6M2upiFWxuRJRPM+HvmITtN5IKxTyNRONbNvO2I8rdZ+
noj1LBOTJefwNDIr1MYS+/gybAeTge5EJCivBqjJ9PMis0I9QkNRAjLAkzmiHYGiQiaLRjJjNCH3
UpOpo63MHxWFc18P8aEz7M5vY/WZm+BYy8xSJS6uY5liWibiyZK5pnCNdhZBpxw3a6WfzoZMQGUr
d3KJRG2IRtU669mrBvAMpV8x0qPZ2UFHWuGNwfOtpy8sa9bWGO/6DABk3YcvKjGspoZfWeayol4+
mAS1tjKxNTHbQ0KEa2PZn0NYRMOMG7cb7kLTWWO7WbatTH/N4+gaQO57KHNhZ4BEqskMVCcy1iM6
tiZCloiEhTl1uRsEVhZX5swSArhOCJ7tCaC1w/KoNiTS6jKbtshVjfhWc7wG4ocKXmbYpm7zqVAj
MkJV96LKnNuxqOtjK7NvO5mCC+rmC/aUfF3LhNyxwoSc4C7czCpOPUMm6U4Midb6t3jdcdbPJLqE
739ehPwicKME+R6aRxUCIxn28s9dHYgOLc+LULlKkgc7fUy9V9MK/u9+hKy0PmiuZ97FdtrzI9R6
XtnOpa8uU/IXYsCfZ3qykvq2FcQPw3APvuIvD0MHh5yPXiwuKm2N6yAgP03TPSmjf/5Qfl4Zfv8x
OG0Yaxq2Li23Pz8UUSaz4aQDUH7wZDWBY63O57B+6E0gDNrKbhtEFd/jiP49MlH/VLX3n/nL17L5
g5HJR8Het7kIBijX1IHPySH0hw0zcxS8BC7dA87kjwtmAJu0Fpp8p3z3OfxoIFxshozbcFMTKP5N
yvdDuvh7OY/q8Z9aAGhTfirvaSGo6Vljo43RAFZZpnzTfnjjl5W1pNYcthc1M+5xsN3prXVERHWT
TsQ9wh+PDkJdjblm7pIZcnKepuE2HGy2blMfrtS6qoH2wBzgdrlVzWXxAYdrkOrACreLdtOpNfHI
Ht+rgFW4yZJK23uCMWEVZXeNQ4rvUpTco+V0VmoCa/IC2dmI5MxXADiuHdKrN9mgY4QAtXilFvm9
wwj+zF63OHHMQQ60uQxFSLeuZ05gttwYLhND344iJOdNcR8VLroyoliQ6LT7msRJhO9i06aavnLM
/G2po8eGcn6V6dauNJQ7ZUmZXdfov5aFmaQlXm0PRVBt9SinypH0vH2CTEsYX4fopTH8zhOwOEKx
Hgf835jAAXzMaQbgcmJJjiZnU83JC51ItZq65mvfjdwl1YiokAdEebJvG/ca3zkWZlhay6nvtMNk
up+txN6XKqEh3mwRn+xYp0Y013E+wSAfgIKA7brg9UOHr/aobkhMIyyN1EYh2r0jx65cTLfwJcwb
T4m+THpxw23fH8PMyJA5RtpWl5nIrTNoW+J++w3LbxI0UgntTqEbN0A8GBfv5x4Dl4XBPXGL2ylt
mV4svbapjdzxvykwbQ+JIvaweiNq7jDRqYYPMPFJKGWyKuMqqNXk0KbOvektL5oiigAmx6pjgpIM
kbcudeqUigDPVQW7aFQH3be7+mBoPJalqQMPx4KfhlqhXlcmthA3rPnBaN2rtLwsZvMlJvl0r6Pd
5g3+4pVxCVqK4PAo1T419XBuIhRTimsm63g03qaxB2A1z9u2mxBjtm64cybrFWUX+Xb8Kn6KbGob
j/2dpYv2mLvqYUiS52phaV1rCwmHUVCOyqme52rVopvHbYGFERkjdv62veqShY/PcB+J8LWOHHdX
GN4ESiS/CxfSZSa9f6oNZ4+ykF2jRZ2DwpKJmp1v3bbY28J6aCI1AlojFwHJcsf3HE/1YA0+FUHJ
ssZu/CJmjzs0RbrVPPnisTeBYxvaay00n9BSNsj/eibl9EuHVkdDPwE1WEVzDCWuzaBuw9r6JFRW
BEUUNdcJUmPkevV6KmaNCOL8EYsjvVdH/teA6qvVUcBWRlVQGSf9po3TmE97B646BlNSJnYE467f
q4ur7msXwKJGYrXN77KqbdhzHIuIMPP2GvsElLca92tX7xLFBoaGdypJyAesMgVlIzWmr6j6RPBs
5LDiQURramgk+B/FtK4T4a3KdnjQpuRoNf2hNHBkms3d4OD+Xdo8YDWFDwKEAXti7WqY+oe4tDAt
zNF1bvY3qRgf3RSkf75gXzEZ3UGUX+Vl8mgP+sGc1B1LL7irYGHqnvAuFcL4ysumU8rGwVGbcpvP
bouecDqHjXGTgv3ZTKO2cfTqoPdEaM9t/25a4edYaBezTK6UobquE4dx79C+hiGiyD5dPmURg0qz
dt1NkeSf29zRYeiG0arTq/syMo9y8Qexm3dNF3pz+mj0ibWLTbswAjwM+iYqJ7Y1DFe+lQ3/vsJV
lgD/fBpIk9z90dKDL/oxA2QhLFe7zMFUgAFS0vX3Gxzil7w4iX9zML7K/N7fZ4Cm+huXNx229/2a
tinTflzh3m/QsWj82ZaQNy0p2r9c2X96hUvm5c8aMW5vhGqMIikmsCb+coUP1dRahYgM/IKmyod7
2I+zWa+1xIC4b9dbRJuQZ7v5ydEXY90K80tjuKeO99baUhGjJ2StBl0THbuxZKSmFmclocl1F3jU
4IWupsZu16bXlITZ9a+zVzxHsdjMeXabmklQzN2BbfptjWCcYT19OITpdtVo+qnIU3aVivPQph7x
617e7ZYxfKBTfbJE5HDeLpNvT/nFEsZFG+2NV5cHh2yF1FrAbpPi6oMZYVQSTQFIFnzu1btZRbf9
KKwD88QAW8iry/Laa5fHqc2ZruksahmCIBJFerQ2qtBXJ9Y2ThU9jlr/mShT02dLvCPHAQl0i/Q0
j1BZdZy3flwZV2leH7IU7cjIyrQeIraTSsmJmbmXGPW+P4r6klhDdZjyLt32Mbe+k9NPplEjfE8V
4VVrlyp51/0C4cpc3l0WxFeD6XxZYp7cKsyjGz2c0ZC1zVsEauuclNne8jAWhnqF765o3UsbM3d0
nJFXrY+IjxJMOAj5YsAgsNhxJNtBLF1wdjNAc5kccaMK0hKWin1rLeKMIgq7nTHSzcU5+2V1zpKd
YYCfUuJYJ807W3xjIVzZnizeAmW5y8NQYzY2s/cw23hr0txtTcTKmwaxbtARoLIpjOQEBey4dMkF
ZdS+m8WyjnP3HUOgzQwBG57SxsZ67udko4XOHKSSVKomZKoAlprR5dVe0CU2WycSxgNPh1yVi6Za
q7EW37IbcZmDWdEGSEOyA2YY4qlgsd0ahnKTaZ5UY/NI68m2VzE6jK0r0NYk80iQRymqjZIT+ZWm
aXywuDIDoUf3s95e971abCLFndHcVa9l1rYELNi006zVD5XHUYyGOKa7lk9RrBefx9ZKHgoSz1Yt
POjd3Beh9K2UqywssIe6VJVRtYQrUkp5jhul37kjG5xoNCmCgYx+hRbBEj5xws0gcuLQO5CtVrYJ
w4JbNidqIvcQChuMYlcUJXAryF9eN/DlfXtI7JtFQ3w49be2XK23egJUPtOzq7Qsup2V1u8dPrUO
UcK2q2AvZ14GjlkDgcEoHuppbe9B/IUnW3GGANeseasr/WPslR152R3IriDSJw0ld199Ab21cUiK
JEqcOJjWjeqAYM179MnadooE1pPBOxTgfqAOzNrKG/o9W7EZ0gdVfpeJTVwUyoEh/S42jIeB691v
BVidOjk4SXE9Oq2vKA6418+hox/70h4+URa/jTZ9r6koq4Kl2dod+/HUtw6KbQ/+eNywnxSpetL5
aVEVHYfBfK+BNvnaQvA5mWurgcno4hYmMvGFSN82/9o6rQS95Xta3xvL8069Fed+GQ3GusjdMkhj
bUARE1nraS6nFXx3Z9Xwz4uW3a3TokWcZ15CpmKXXhF3GXNXteyfiU3hFFQZ+Thpc4xH7WVKIby3
qYHlti3FFtVNoMVYV1Oz2QxJSz+xaMhq2uHcuuNTDypx7SjmNfk7LnBfp9ijuOVfdiqijTQb/Kor
j+grdpk7FP4AdiSRg/3Y62Zw7Qnchslbd1Pz1obEllpDvA4j3X5Owz638ARN54LQ3NJkLdNbn7Iw
t/ZIJVdJs7yC3G+QWUw7HnS2jXSVgD5tWWe2g4SeUwbPC3UMwl5PKVdDqe2U2t7NDDUTHceEEo83
RZ+fMr2lko+z1871dk5hXGmiChS4vmKM1rymPuNY/my9RG4cM1/r39vYuc7qEUdWOe87Zs2b3oFE
ZaY3YR4q3AW9j/XrGHXZTe4pay2O7rNUbCK72Dk9oVN9Ht9ncef3OkqjImzBjkOiIX38FGe+qyJI
bokK/i/2zmu5bWv927fy3QAyKAsLwCkBNrGI6uUEI0syeu+4+u+BvZ043sn+T85zkJlMHJqUSK71
vr/Klvvpd/m04h5TJvB7vbHZi5LUDWR+i+WqXv87G6kqodwLHPD3s9HprY7Konn7b4BjedyP8Qgp
HYlHuoWOXgBmqAw6vwMcqOtJrLRNa9HYWT8BHKQ1oKEDyPgDFfkxHaGgp39HJavUEMBYjDP/ZDr6
xdm/cKRENaE/oT6N1Cb9m2HxJ4AjrpVEt2Y9vM7UWfinUG/N11FTQ3tv1nkekP01mFdzV8lXGYqh
3jkKjRurYVQG0GKreXRCUdw5TmTObmx0Q7Excqt9aoxO87vFS7KWYYweIVIeRx2kdQyQO6c6PiF9
lBfbzrcd20DXy/sgnd4ooX7TQzajaLyVjU2RglS3+qKL1Sf2f6J71mPvex11OKGMcTE1C+1Q940b
qNNbUtW9Ww0kVnbspqtG4xCcZgo6HGlv0rwfV0rOSWN2zl4ENa6awd+VmbwVvXmbRRJFs2F9TD5N
72C/HqvjG/kmd6Whv+LLI13cr4dNnnMloe2jJClyOET7gnBqYd7G0jr2dkOcQLJJZJ4es5qzK6Sb
pPJ12xMNoI8An1iRqkac6Zzc9lX5wARUnoya1GMMjUAKdj5y8k4N+BDdSHXaRGAWI90EeZAeiZRe
z1b5DDlMYYimll6n1p9zU08kkS/ZmU23o+p2qxL/oCWtV1oIkSeC06ASR2J5CJArFi6IaEhelDa4
uA/YnHL+TbAMrnKneMzD5MNykhtbhJ5dpu9aEt7LomX7amNx9E1/H5XKDeLeFA2hRTo5PXCroJPH
wLAMt0jFbSglqvSM/di0PmSRH2Yir8rJJktUtQF9ci6Xsl+Qj2A8ENLjtuqAS67It2mkjCtME1ye
3EddlT/Gskk9SWPVRhsJ2yzbu9wEWVMGn5oP1d6IyurPnc3wQQUuaQ212LeJZD9fZEJ10t3MfS9X
2M/O+QwfWGGl8OKpe0Bi8sWn4WMnQ6LDABM3Vm0/kWf2bKHX1mvtLSWkFhqWl6H2t8pkbyp/vk6T
iO1e3zj+hQ9rcRZ9d0yd5DJP8jUC5dnkyaxtaqyjIHpJu1fL6dBKPnaaGR8LHbp/MbgybD0pMIur
FjLE1dguXKWONsmQ4FHJrg2nPhAjdOkbu2LuRvUXWALlevXKTAAbp8P3QRHLglzwXl5PgDZIRDvq
IvwNJAcdnn5zb8fWF6mMp1p2n6Qw3Tettacb4Bj3CX6T0EI1lToNYA3vAwLBD5REfMVm1JH2mHZe
mctrfni5aofwmQ5ANAtqdq372qUyBVGlyRdF8V3y2NWVFSbM00Z2IZPVPuZGeCC+NX8KpVMDLGCM
U+hVPChpV7pmOEHLUSjkYsV8Q26ZrNspvdEa/5lo28lFRIJ81hE7x56Pad6eOo0WgE684O14aw3a
uUyedNBvYlT+qe8w/9ChkdI4YYidUabAUn566kwpVrmw882U5FTgsWJx0ALph1dO1xqHSKsB+sYE
3dHYa2Apc86cjQYfE03V7ugBfOoynHhBkUECVVHcbKpUbbdZw6sP8gL3xCj0yziJK4XJ/BzyxXJ5
z83rHCKaKYRABtla49Nc5cEtkYzpIYaNo6WjI54qVdKdZsG7lig6mK0bH/S4l22IwMCA9NVDnnoq
VZwUMWDNv9f0t2t60Vn+/TXtvqVv/Wf91vz3Pb088Mc9vZSdosyENBAGH0Kklj/f046D2Px7PJIp
AT9+SJns30yqvhxVIunkhrf4oz8uaiSg0BAoQQHAlySkf3JR/1L4vFzUxoKV8EwqwUeOtcAcP13U
eUD+Ncn1xbVKB9yuZL0PA6SDtTEcOquf3KHTmyNNFMXWUGewsLG75LFgk82zLzV5dh7JmjuwPnPt
GIRyB4M06BANK5cdegaBHXQvbG2FQDBJov4wZhc6mJ5CE8K5rw36idX5YPvGsTbFUsXAZqyEWyQy
Tz4HsDtX9DrVE6q/IiHzNG2vgixGqiIYHohIQVpjnaDjHgKz7FZtZN84pKF7eR3BgNRvOuFjrm0G
j32GhXmIwsDNx29FDvNJ5tbT6KOR0Qzj2UmLJzmSA55gRrLSe8XMTq09lG49hA95jVNI0bJd7g9L
Z+Atl/VGC5QXPRrdgExDyBYLgWt5pGXzmUzesxFyUYXmuO1p/1nxoXjDgEvUyYgQXbHadSTncKWN
aUq/CIWPk19NGG7zbt33/bScnNf1MCLRD0gbDzHqgJ6fhyVsMZgHbWsm7SaWFaRAT2409nlX0eeL
4ct31F/3STdtBpt9iMKMyyjkZgozJP+Yi5ByXGRnPYSVj/hdTM8yQmsaDWbpAbZxJuZ0pxgRhQk5
8vS2nm/qMbc2pGtfjVr6Gc6L96rVH7jdcGbhhXBl4VzHvaWfU9/ajXZwV51FuJcwMepgH+QUxy4h
iZvIYhIRVbSO2hmPmdH227qzn7nSUeuSVbVK6f5AKJyvkqx4TyxZeHGLXFOvtE1qW96kgnu1E5VV
aJMI3vtS18YnRtFPgLNgF1TiHEgMxz1GgYkovHVMt8ejYdJfphLQgryWRKm8usKKuE9N7WR24aa2
A2D8NKrpSRt1TNJy2trfhKW52bXroV+mkeGDLqShdk01orEOTmSuRIPYrLoSSqUTIljuHLlg8TrJ
mbltMY8Je6cvVEtRj2+oUe4j0i/6JlurLWnpfHT5HDlPhdEbuJIgbUBoqnXkBOP3zjXwaIuNG5qn
JYRiZZjprYM9lBowkvHhhHJHYo1rtFW20EVpEPO9sNJubUPvbYyFVqK+R91QOJvio5q7wwT7RDji
u7HQUS28FCYJXCoSF0jZ8LOE7cDcM8MuYK9fOnivi4JvSryQXUZYXnzYrzBTVa9cCDEJM5YS3N/C
lDXFTSQEVhRINLRJaMlkcR6XjPweos3Riw/RpDA9UHCZyMq1lTSJp4xK4tGhAcNpLvxkhVIrnJUt
REo8v+oLtVcf4xgXwrCOqHTFZsDHoM/8N6wwPX1Q1clfWMIcupC0+l1OQwyQUvioBMln0vGV0Qnm
WpeQjY2DqnxhHx1MR4t5777K/a/OQlGi+ANCWljLIg/WYpwr8kehRCi2yY+KPponDb6TTtbqPPaI
d+yFDLWc2ffGhSDtfL9gOYA0DYf+1NeJDZkHoZo60V1Y82k2BXErdRqHa+Hzjo8+4GgyzTeFX0oq
XUicbLJ+dkuYW6OqO4A4vljhTCam0jOGEv5AYxatcF5RtYJmOjAU6OBk4u8i5f8mE8YhhTFWffXe
XwgJTe+v/IWiMOZ5JLOuqOv4uhy1+jn55syV31y6DX5dCsEW5+43F2+0GHqrxdprf3P5/jsTfJ8J
kKj8j5mgAIr7i8Vd5VG/DwTaIlNW8avT5wneCHnx++Ku/4YYgCQf+kgE8Ro/DQTOb8jY+SNkA2T9
cPn/MRDg80BzwiJERvL3PPd/MBDoy2jxK69BaKwg5YiXgMx5+fOfBgJCU4NEwUR7ncylRUW3JEbj
C4UXrX+tU0+QZfAUir6jGgiIqQvvJkFaHa09JddGp9JbgMd8SKtk3Tmt8BozU3fqQK+WPRoQC33x
pk1z4IIVvs1VM3qZETYY4CU2VQJU8BVd4sp5ZA5p12XWUIloN6TsTjNwpwMhgo/Dpwgy6Qn1yvp1
WLepF8r20OWls9Ks6KnX5E1k5FuZZjUVWx45KduowpLSqxnLYlzczBCS+Kz2HICEO6cFHest+75T
NcDL9fzmxPWNlLRLd4CwMJH6RVdbNgAxFxs7QX6r+2lBJFX11fCDty7GNpIpFkvHJ5c2ej6zWveK
EXhplp9GXTyVeQBnzTSxE02euUxWJPyUbAFGwaA12w7Su348GHMUr/V6/uxsn5W6P2jOsNWscYOa
ftsYyCKp3QCY7lmyCP6oe+OzBZXDa0xehoo+zTjmoHazORBSHPjsPLQFY9C7txeIL03LXQbmNxbx
fQoG2Lb5Df0qhxBs0M+igCDD7KbnLe0W+FAdozrftoTHb2xZXmlm9oVKJvQLln8Enj7mfUS4C9C8
RF2p1zdkO5X+a1yjf103RhHkN8rcTiVtrcCFgZqQrTLHSOtkn7zrpgHODZoS6d2704QbSm3Qydr8
MSWWn1yJjRsjxEMHS/HUFJ5F7ttrJkf6I9vw66CAUcb29AIkdt/O443Wa69GXdIuMr9EeKddiTp/
bQXiI9LHq0ENptelcgpbc4lMmyp2e9l+TRUy3KxvfCfdsaUrx86q7qeIH6tMOzaywL72R3AS/B+Q
y6bXhS1YcCKddSsndTdbX7W4EOvFi9S3KXExJdF8qa2fk4A8YFOJrjB5bseSDrk667F3F+F7QFE1
m+c0b2xUoJAowVZXmheis3cFXxs3X3AaGwd2aTWLQRRPkSaT/TgIFtRauUy+8ly36pUsDQ3IOH4w
adBa2wSnozmB8XdsTEw4oazEQstRXOVmM6zCjNqYyjYpnUm+NmF7XWbirW/gKlLUBskUn9FgHMol
S4dx7pAPKRHKhtEjlgSuDzEuxm0/bKsxo3qUUNGV7qRveWK/zFaxRrm+V5vgxaDw4G5W6MhWQntc
JD0PlhLejQiIUDc+V6Eg9yV09vNYHejlKg9+0TxLaBHgyztFyn1o2NeK09yEqvwsxXzOsnqXFHw2
ZznRXq1hAO/14LbvoRXUgnauiLyo0Fkno5Ov+PbI16Zv9iGa21vfxjoa5ekG6u4g2yb5F5X+bu82
Oen//mq770jJ+wvKfnnUj6uN0hGEothylrhxEOifdt1v4f4GZh6IIL6Zy633Y9eVv8GfWxYtXOp/
PNy/77o4evDaIJaj2svQluX5n1xt9q+qO5542Zh5DZrAW6SCjP98tWGFUas8K4j3Z+MgiKB7rScq
b5KkhTrssW3UKYJq1oWp8E9RTTG1qQ2NW+f9JWuKvUXP5KpBoAQpV7H3Rhjz4tNkoTsuKJRS1eSj
V/uE73pvLZsv1eyDfirmRfatysDNmqWgUkVsLV/1Rjw7FV5gG2hq46dQRY4yb1LQOCwgIZGuNTsz
Be2rqIwfycl7LafioQ+xkxRtU1KgLB/rqt3nNFy2jvLk5/A7KGipDzr1SXhsi+i1KWguiBzrUhvm
e0pDxzrjB6PhJ5JbpMlXnVa8ZJM6UexhIBFql86DdEDPPDxMelmvg3bYCEHHkB4bgLkDFDeuwo8q
pCXWTuWxadP7IZ8T16aw2Ezs2yJyPqrGuRBERq5tNQUrddlR/GE422X/rCb5u98WL35FMmeRvyOq
oFkoqYN1Bw+9a6zsEpTOLgqblYiD11THMVCmdukNEjRwKIv3QXNOiUJRbzZxgZQLvDbRjrshjqd2
CW488nW/qoR/BNj25qisNxNNW2o9XAWOs1uMBPTyfo1E/EmG672B98Y35ucsmDNPtXiRvEmOWpur
YaC/XFdBGnQ6FG5k35xCZ/xK0knh4QDYFgzfblcTX5qp+pMIzFvR0mWOy/NeBPpXeLR+P0XLw82u
29Cs8pzBWDdFSOSOKclgwRbhd228lTJ9odAs2RAhTAeiqa4i+kndCtX7ShUKLvZko1rsgvjEtlx/
BSwtNomu5F1DIzC4uim9TixsKG4VFnoqxZryEPkIKmbue68m0mNlDvOtleIgz8l/qUTlitnHnZlg
KFXbkcbGuWGd7PjE4TZXXHvmQzw1vIeZXgbroZ7vsHjxrLmNvaHf+Gp3N9vGVTQQxWbpKS1eQApe
gMp0hUHmvS3GZzuPaA6W5RdVK+AUCx8ohaVyUCOazTCiFkq4U3Ml9hSLxixVLbZcq1tNJeMWm5iz
Ix9oWhm9/Qncc7THol+VTVyua6dFrTdNnt7Ruxpk40NRmbSWkWPHpxEDrNF+aTqHGJFaw7M6k2mX
jVI/iBzUFv+uE+xT3QkNL0mGJ91O6n5dK00YPfJr8NtrvbUoBpMRI4r0MzW/hx6lux4TxowmDeIk
dKkGsi6KH0byMlU4BYxqDF7g9ddAxtawEqHwzyVyB+IUCfcZxpVKvEloOcFdWKmLacocb5C9XhEX
GBlr0CjDXHWY/73Rlk217ywVC1QVIe+HeTXSzMMbizUjJXNQjtVWjQ39ORlUNTqledlxzqQh5avS
elcDWsTJjJpq8GL6R50ZF5VgGEV8YgX3amulzYvu94HvhQbMHNaCTPqveLRCcVL1OkOKC7pXuv9u
gt83QQRff39dep/p/zvjuPuLG3PJrv9xY+rGbyablipxeDqStNiflkGBXk0H/oVB/e7R/3FjCuRv
RNWbpJ5YwlF1g0f9Bx0mK8Ugwx4z/tKFDP+r/5Mbc7kP/4jEXxJVNOBpR3C4OIYQiyr/5/uy9bu4
Sedcv+RoGtQkOlpB4hr9tP7pN/MfefzPBZb6t53yjyfiJyE2d1HWA4Ub6PN+BaEVVgQkPslwMYnj
2ROkbou1OXdXGcFp3K0BzqHBQrjQFtfO1B2rpHyw9LpzS+TE7oDJdJ3UWnLoa9PB++aorjG1ZIqY
5ZIvUD8PTVm6uP7YiRZtWtikdyVP6NK4finUiAmSuK6VXdGVbit94BrIqtA92YcqG10i4NH+asRv
OaZEz5XkG1/2G2JkWq/D4e81ycjELp4U2zo5onNW/JjPVK4XLvDvHfDTrZKNZ0Uxz22kklg5oPWQ
trOvnf48+BklLI72wFScclv2vUfsYUi4SHtjMg8Monty7PpTD6zXIJvgxsGKEjLMaMWJLmbtH6SV
RRuSHnbS8ettE1JxbdT1A33Yu8gWgUuI+AEt5Jd8IHW1z6B3ZY/jLC3GEsPVIrACBiOAfn7F7dO7
s4ivhV1v7GnJ5SwNr8L/1VnaQ90Ep2KkMbHQplur6ramo+/AXSEcATh5oQbRYS2ly6Fu3ikTRUFZ
Sxak5bw6LfgntThdhcm06QRB/ih0bBAN3r94m1jdV5uYNhJUzBMxMGwUZBR7FXu5RvmLTkYaJb5i
NRDstEm09FKlYbwxjGE7Z+IUBH6wajWxdRi9QOSIolGk2Xtl5bzm6PSQW94W+TyRwtk8QsZjsm3g
EI02vWuGbk9fUe/VhvquUsO6CobpMY0iczsaM+UJaMGbMO6JMq4/tFT/0DGdusmo7YrU2WMW0Vi+
hy1qy5sssT3Ca+TRMubclWn+Tvrxc2hxX2SyuGftjT1YZWyrnbFFYujqtJMhpnLqNR8x9OlUKq+1
Maze8pirdjMTrzy5piRRVVOJ0KIiVa+DZieGKl8mlY1mD4tyCmNrmpqIo8n3V5cWSmF8DKqzj0xt
08+A0JgYy/4xMY1F3zVoeEXNaNlmsQJ7SazvDVBUDalku0DsdvUGeHOrJcon5neIbRaygk8jir7+
fgyaFjH84BUDZK+SmWgTh/5I3HThKdx3ZsQ93jd9hFotGF5kbDWYW8tTEKm+29AhjYFgFYrmWMbE
V7TNbhja55kc5tXo0FYeq5e4Lk6J5Ctr5MmFFfKQKsp+TpFihkEYrudxQjTbEyc20BsYD0gnxk67
DVu5HYv2MwHWoYwGfZssn4d6jWNlH4r6QDTZbpLW24gBdjYZccnDaZiBX1Nx1w/U+nXdVUl1acqo
Hee1S0jqIiQVNIrSgEDg7q7Xia/VGL2iuey3hhW3G1VD6xr04nWRV9BKNDAVovwQQ7nttPyaofMF
Jzyax0k8tq1qn8g4EtV9EfduYOOk3dGVi5vv/zhG/7zeLKco18UiBYJKBGD8NQSc6CgqPyc5XQYK
kFZi61+Nd8VpH7cr5S1/Kte45l1/5R+AHjoPK//+fz//Inj+8yHO0zsW9w7CY4LSl5f3E3BY+53Z
K7KbL71FouPeUQmkG18V/Kn//Hl0ghwsUrqkAAv98/M4LXdWNPbzRYuO4dis0vSTsW7omv/jef58
+33/dfL75A7UyGDAxfLn56ngd8xOC9WLNA+1vC7JPA7F0//+WcRfvWc//zC/PEkXqmqjk5py6TfN
IzaYdb9TP2xEMqviRGxdsLrF3L/KNvru4Wx76erc02nx2Kz99U18Nax2tVcfW4//0Ss2/LN+/N+v
T19+mb++qeRcoLNnnYes/uX1pd08g+Gp2gVJ+dm/UdfqSXsKrtg8YEK8aXX1om1H91xthh0dBdkB
VPMGre2GpJt/B8nvuIv4n5TCXfRZ/1Wp4vKo36dINAZg/5qDSRn4dLEq/E4p4KIAw7cMY4lmwhjx
B+5Cdp5FCBS9BcQCGX+KS0Fb6Gi0llu0ZOuo95x/MkXqy0v76UOExgBBoUU7OWpAzij6m/78TcKB
lYW4mdRrZtclWxYWWGqvRfChOtiPiNqoZX6MbAjuaHD041Dy32vdupacpV1VbggMuE07TPDNTPyE
Mm6bJHzOa3NbldatkXO8orGBhXsBQqKjdWwRtCWH1sTKRmY0xGHQPZRjfk+ZDzFojsqCzYYN8Va+
+HHkSVM/mMjnM616m8n70eL5WYfidbOxvQpNAq/H2HKTOdo1HVhOnM/PWmDtGKgiVyTthaLvlzjL
H2a7ODpx9SwkTeiJqX9VhvwJhu8x0aAACVDa1I6yma35Ejk0YfOTbUuHQM3ByYEOcG4avp1AVw/7
FjcdOAc7ei62VkVMfNMjuM/sx2rAqFW2k7VHeobh0xeHWGXUjAdlh6JN0ObE9dKhzy3EuNeRmg2l
vB3K7nZqs/ohNae3tIQ+kJV9FYTqk5qZB3upXi3V8QS2APYRWMrajPNd2ysxN2p3EKLZS2xwyPvM
q0n7wOD2Gvjdw0SvA6YxRq7ZHl4TtaHhlXz/1BKfhkUkOobsh29FvIMqSARFaN02ARz90EsYhmkX
N5Du9rAu+wgtOr+zIEiFN0xBDMSfADvX53ZstXDtW3GxbZlcRoIxMJ7MolTbfWHTE9Eu4Yya3pLn
UBVqba31SBCJx1XYOm9pX5G625p668mEVNfVSOa7WJJKaw+NALnlBJ+7pXBOWVdVa7Uw3vOwhg72
AfMNQXghMBn/NhBwMTfv0u9IXscMYGPPR7VBgwAN7CtLm1DTmcmtNaPMswzrrITYZzCW8XeocgXU
8ZyO4iW3x4GVoL8ruySkjQu5GQz4R1w2X/Vp/JxbyrRhYB4DkrRoizBOag8EkxAwVOdKtI6H1lgL
s78geA08w0l2IqxfIKTajaGIdG369gv2QEydguAZaQ0fKLTp+yZ7mU9O63gkd9uuSljvKQ2Uc/CS
9l4eBFf5GH+IsfHMjM8LiSVmMh9knm/jorzpDVhsMiAfSkH5sSyCJaEF+y4TdKDKJx/7xNbkv9ja
8BTM1Q1KOXcSSnMcmpfcZDD1J7KXsUHOkcdfBRiCOgeaAGBLpitFCRs3rUeQpWEhdcLqtsNUsk9Y
WWaZn2dYHYLVvhL7Xbup6Cllq6akfv92xf3rwNO4Bv4eoNhn5WcdvaXcIr9U5iyP+3Gz0DDOaYUW
DSCAS2Q52X/cLJqkFJCiQEJXvwnReNQPRN/4TRgU/MJV88DvbTk/1Gv6b0Adps1HhPKnb4DHP0D0
qQb+5WZZrhSTAl1mTrm0SS03z08zpxVWdT4q1UQmVokGRkMMbJ1Kiy3/qzrPuam6EGYtFnAjUq15
V0hwv3zljzEonxTJra+Hg2cj7NrVGv7kFdkO74HaNG7h+KTLJXckH2eXKeGMq2apb4wlbhQkozkV
Un4NSzv2koyTiyCLaBN2HcRjg6ioJegV3YpmHueuyfZKTorpip0hn9xRshTGcVCfkWMauGKcYyzb
5EA0e+415TBtADGWBj7CklLWdRd0AEU6ViyEwdMVcN3RLlr/QO4yknDFYfRD4kLots43il102oyO
FXrGUgFUGWNC6tK3gELqN2gaZ3sUygtl3NelHPMrK+zuNRmqnp+JggNClgCUk3KuY/k+5OCpVWFp
28KMv85x/GoNUZOtRK9ltAnBBJcinh6wqvleVYe0MxjFvgvjzzaY9RcdP/XNDHi66WVaeVaTomOb
ChAAotSdQ6/42loOqnIlylE9mlHebiOQAyIDUX3XNDPYyJvuWJLoJpnulRIdXSG4DFW7uLEkUhjQ
DqhcaqQ9nLnFfqbsfSXUAefglChHLSQN0Zrq0Hzpy2Bf+qrBQOBPWksOjjKFBCvVtayvQ967HuNi
dJq0qALxCLSlxyXmb6L9w1GgS22HJj5dp81jz72r3yt6l0Z7/IXzVd3nznXUT4QxFFz+8EL8Evxr
x6cdMIwS52uvOclRLxyPuuL5jhNMG71/T69v8OriKPkfp1c+/UWE4PKY308u8ze5NELALdp0gwsW
m99PLhsFjgpuCoD+3Qj8+8llcdwhvCHMggv2e/Dgj5Nr4SLJuPiPc2ZR6/6Tk0v+efEDu4WLNJbX
gAKS6dv4ZYs1wrTUgt5qz1kiw01RpJE3Fpmw5xvQlrkn5tQJ/VmuRdirYb5O+mRYm1qra2uMxVMO
HzdF5JdXdlRN1/GAGchc2d1gwl5po6xwnplpaCAgybOUbwb907Drih/3OmVaTpG/zqj4xcXqOqfO
PQu/HR540xya0dWUKm7eLAaSeV61Et2o6o5j3TtULvZhvY2b0jnBZoR74qshK4ZBPFQFohYbhrDq
ikUbn8SkvlVDfyBpYdrodpSfrTTpbhE0DF9UZgPSl+Iw+NKLetykDX1SBEAUa8BIanQU7AAMn+EO
Rpgl2B6M6UazdCI7umI4US8xnLW4X/pwyq/ElpE3TThi/YYdjnmiFXrnhr6p74mob+91Uu5dfoPm
uz2nzrYP0+GIs3flk8q/TRVh3BJ5TaKAERDT0Km0PtsahjezbZU9meTTuVbreJOAhG9EqZUoeZqM
7HlDQxQ19xRQ+io6Cq0ECHacUH81Fs4pnKnywBbd6V8SQbJLVzXBfkri5nmJjmRe1cHUSyfwZuoC
rjs4M36l+b5ypHankZiVujEEwAnK1YGSK8LztHB5wUS+mrlwfA7+03U8O/aZaC5zl1V57DoTgqfQ
CKZ3Icf0aA5+89hBdiOFjHMXtlo/sSQuydhhk2wIR0VdspCbGjoLCFSzuRjRt+BwtTgAvFBkBZfq
T6QZkcKGU8Wcxq+DoPfCLrPgaqRfmtcWWwpVHVIFqW/YQmhzomyo5QivJjxYZYBVUwx8ikazxiw0
645/RZa3fOygrKmE0I86JdnXvHx/o5DqdSJ/mv60ulavpzkE3EQosw+ivF9TsBafRFNOt+HCy/fN
UK2nqBvXQT/7m6ZqmuDfk/U73rBgPH9/sp4/+7ePt/+eCpdH/ThbF0/DEp2EY0BHebjkL/w4W0lt
4ECDmSJbmNbDJRXhx1To/MaQBuAgmdes5eG/s1aGw99novUBwKCDWjf/ydHKpPnLUGhCi1lL3tdi
a6AA55ej1e+IFABVmK5JmzMmVHBY/wdCgJyHkcr0lToRXeTo+ZED4daexBfICsW1lJl1OsT6PkUN
BqTWITzHuSacoiDIRX4h5f6Uds7jPFcPxpB/7bpgUyn4yhFYvKQlSmO7kUvr4rxV9exYDEgmer93
VslsnAe1Ct1Uqks2S/IoAzlvjEIyNvqU3CAnhOMyn5PUegym+Qtx+7lLmuRuqLqHJGovtSPOke1r
WPDsu4xtrChGwLi+vSoGLopJaQ6aDY4w5j2ip4KfeSY1CEmA3e07O9yACvmr2Mw3eag8dWXkAqGu
TN05p3awmUUYebjnCGDMG209Y6ePKSms7NRehsgVSpqPwomuCW6SJPJXEzqvzIt6H1a6bDBoYGAw
Y4OqrgV7CaD0145ivmRzojPg+RaFXmp6ZSEN8apBI1IG1RdUyWJB771UYPhwJsER78ycqd2dnIhh
mWsTcUtfJW4Q1eLOoeOgdVYEUMNiMD8384M2DPRAYjSsQs+sWnWJuFrwgvE7eBAuQAInPAMs2IIt
+3UC1qCmI0kYgA+ETBOHEATbcQEmrBlmwgerEAtokYFelLF5Shc4o4cWmxeAQzZ8cEIwjxbsI0o/
a5CQCooPsXdDVFN3GGuLXkpQk0In5TZcgBTN6k/OAq0kEx1oYC2TkFfZAr5koDCVZlYPImtug0zc
at9wmmHf6eN2jGN/F5lI/pXI3yG7RG1eGYdpgXsADaz9pEwcpWBBSl/bpFgqG0AzYmtBiIgGWtng
R7ND661alEggghzL6VKHAtoURcR/sAddct3fGOBRy62AhL97nNP0KQWxKgx+Z35cPTNnH3M/eaA+
8CXI6su4gF1jS/Yi6FdT0yqqFuGORcpiM4cKAinLOjJ3dLAzmqxXOVhaO0VrbBoHB4xNA2uTEW2C
PtmYbrIAcWmd3neifggXiK7ssCOADhwS0Lty1tiArJdqgfVYCE41ON8cMv0b/pO2AIDqNJFn3L2a
IIN6WmwskEJDmNfjAh3iNNKP8QInVuCKc9LTW0k4aP6RsFPBrMbrZvC3RTSoqHuF5hXmdIkkmiZU
PStnwNLZWs0zmxsNdlJ/I6UjxwOSEH3biCsNjeuq76d7uWTNjgVySaO27vE0H+xKfZnt8ISM4sbQ
KdtB8LRyKucDKckuc0idlVa177uMD6B/n8bzuPZj/dOM0U5HvXbPx/iZBkGsQfQ1tZG8aRwDC8rE
Va8Ml8IfiJdvNOH6gW55oU8qbyops7HbWkOaOqbsqc5tglOV0Kmy2vt9qKL40nAXS+fL/2fvzJaj
xtZu+0SrQku9blOpbJ3OtA0G+0ZhjFHf93r6M2R+qjDFhiDObd3sqNjgUqVT0vqaOccc/faJLKSL
L9mb4+vw13CffTebKserY+NY2o1+mTV7K+jScI30VXxX5vLZnwgfBAMDP6a4Itj1k8zloUPFCr3E
EV6bqNdhG8SrpgybzZRikMSj+lJAqwBCQFxZnZT0pW3lMLV0+A04FvApI61dX6+vZmkdKWkPUSf3
Ydje1izAWZBre3Mm77UTxyLjU0ZEEZYtRghjFvp6CoJ1HGaIayz9vyP/65EvmYv87yP/GOVB8+8T
f/mhbyc+8k2dCT46FNId5MJO+ufEhzZALI+55O8ti8d/DnzzryVBj5gJ27SZoX8nU9GWZopuylKZ
K1kMkf6ombJYYrzdL7C/4N8HuxEME72e9nYKJH0N7WJpGdeYibT6PQIvtPduPmVyTegCIikbSkgE
HSTRPhLvs8ioEFQpQkPtt0is6le5VfsqvZpeZVhZUSMt/CrOMppYY6DsHyDzoBYlKnlOboos+UBM
wa0pw8dxUEmO0LTrycyrtZ4bEfsHnDhBFX4qrNBcqUqu0lZw+09IwMYWDE8ecwyoybQetOYulP5H
6n+4K4AH0SqkYRaM9wkuHzeLunnbEzhTFlilrNF0i25q85MuJtAhYQyiLPI3lBADHjNELH7el594
CT8GUG3c1sx8jul804zR4BZZvKtisYsiXqtjTaIOqVj0QL62nvXsfRSIZ/VU5tOp0JP1uDjvnRR1
p5/672Rl32SF4jlTv43nG9ma74e++cBixtPzunJO/001vk41eDz+94N49ZS8/OQ55Ge+PYeEjbMz
WJTQNvs0iujvnkPtL55LHig0VJS9aKW/r7ypqhdaCH+ovD6j36Ya9l/QTA126RaA3yU04c9K72Ud
/M+6mE3f8g7gaSS1AIma8+POnEmk1NBYG+ekT4OjCLLKvxvHJK92phol24GuYTVZyJJwJKxhZqV7
vTYG1+iEsUugPuwz0uNOAxqWBGUj3tERrtVKt2AFaJkkeBi9yEAaOWlN+UE41Gmv1duYKhszCxgf
ggdzZpsztW9AiA/B2gfMn4ElDY45fgCipzbi1SCwWAVQLjHIwzyQLjaCZjEUDJInAofBrJXbAcdB
tVgPlMWEABSqd3N8Ce0sr53GebH8DqeRfcajvCfW7C6yl7CT5qNYDA45DOgKx0O9WB9w8pDIHbg2
nogMb0QQYZJgnB0yJ8E4IXFQ0HHvNbv0YsWHIE/C6mK1mHpMgcliv0CiiqlBp9ZYrBk19dDKwq1R
LbaNpFaPSZNeVynRj1YcnCocHiQnnts5/4IGy1g5LU7qYmBZ55eHbLGHZAVYK/wiyoR5aDGQOGQr
ewmeEmsxl2jWdJhxm9h1eDMt9pOwjffdYkipFmuKM/EaXMwq5WJbgb++Y8rykOBnYZZQuIZWz5tg
AncWlOEzZsfanRYjTC6nrYkzJl0sMqA/r/PFNDMs9hngQfelH+qkWn3pFoONuVhtGMUy3kbhbFvy
i1jsONCez9Vi0JkXq06PZ8dezDsCF0+CmydFI+X0SJX1npXoYvgxgpyeYTEBkfZzsHEFWUxgQKBi
FJI4hnR2TEagP2JDv6ls8Y4R7cNQ4p6q8RohA5w26J0cD6HadWZNu2QxJtWvFiW8SuNiWiKjgmlv
GWxi/EzTYmxi2rexcDpNLNYLwFDI0NXIbD71aDmvmLExfc66Mdi2SE/S9WBMhHozjd5Rq0Esx9PZ
ORi36slatbaFLCnjbbAGaZw7HumOiPCX3/ic0wxFPtoP1jsbB2gEzvEEHxvHCIEDvXKeeRhuJpgd
W1T7w03JIAonuXrQtFhzdaieWrXsUiGvnOmFUHKPSuFhzoYQY1Sw3BM5KR6yvnGfMfwmx62IDrY9
zlurNwaviBB4T+GAxr/vN0ObPdtKcK5I0FjxkjppGLtXwBhvpsYK1k0aX1cm8H1VfmBUOd3VUiQP
OazElVplTJ6Yi0u/Lj275YasTS3xcjtY9XrLQZWXuJ8ZPK5sxea+UXGvWTlKNjl0PfkFOjKzwiHS
dTolKo2egwW3YyGx6mi4VwRBfaq7JfiypGzH9wzUBA6oYR8EwoiDDGhziyVkW7Xz+lG1KqC7OTvp
LoBToi8HZR5aKcS9utyIMs3cuZ2V50qqH+Ms84kK5++CBrK3+YxYL0lQ2RcZjUEDzHHbJ0SPSHX5
fn2qckBIx8oJtyl+iIgnCuByd4id+gatO+m8woAqUBzlpG2jDPtj4aTIyOeasZ1ju2NoscWyO76h
OUU4mWzaOJw2WZ7dhEZECHCMZaGw2eYT8MTSX9lGRvKg9PW2E80dTVCPUKqmNUAbl8vk1HR1sJm6
LMTUV2/9styZXfMl0Hwaag6PdUkuFn8vXakne8zeZU2cXjlhT+sYNaxiIsfLCoM1MD5JxqwfKH3Q
gJbHzrdfxkIlX77IDm0yMKCT49Yy9bv/KoSvFQJH6v+uEE5Pn0GO/KRG4Ke+1QjU6qhsWIwySEOO
t4Rc/j2dU/5iX8pG5B+m6rfpnIUaaJm/sbm1KaYXDdG3GgGD1lIbQJwxNSBhf1Yj6D9EG1Ej2Gxk
6PsRCTIHtJcR4fc7W6HIqVFbApN92EbWlGWrFpIqWJ/6GlnuhzIRq5JhHf6d6WAxgN7mGZKFotsh
eXzRRV8hmDGYdOPMItzwOLKqXc1OfMrZlKylEDd5hGC2LWwk3Vl6rzi8KP2IRB40DM+yK+N1a3fX
LTFovewf8Alj5Uw8RCJwEIPw0XTSteiH4L5WOwXmR3IMssF3LR9VMf/ZxabrousiEshVpPoAigyt
cqSDyNN04h2Zgm3G1v+CtPRFSw2TmbdienaB3zOro7siCW/GIH+aleFeTOCuHDPo3cKISAoVxsEw
BeLcRR9ROuGEoqn4ZBvxc2jV1xkt2Koe+IgdceFeU8oLnId1nCLLLudjXERU5jXCalBSFyOOL0qu
jasoAjw92KjkU5bxW0Z0/YrZ+bPfxKxKZEccSmiT+BgadB1K/I7BxoWOAxWfwsa6gZJwNWTOXZP5
6yyTkMyHehMz8FkLZz6GqXMI2/FYFqHiWiRQrAjT2AcSu1JQ8LaiOyhWRWcI8psbe+2EygyTtoA5
WRid14FVoEBotQOr65ipwfiZNNLpEIB/dZVc4dTIYnurDbbwykC7Miu5r3S75KXl+zeTyJFjVq2z
mQJlmeNkDpzDCBNtl4c3hSlAcFCORdamiKtHYjPmbRPA/kzLMNsQ9RkR36xvLHqXPXqhaWfmqJOC
avYsK7dWaZA9M63IUKCDG2VLlHlpPo5rTLCPqTVgQarLU5SUE1xfDTOSHW3iKB/Xytx7kS8BMeZm
c1DV6jbxWcZbFJnreDS4ITu6VMZI2q5Wp8wNuvmZ2DttVWJaWnXIeFZxkmOK8wtrF8Vqv54n+0QZ
4mCfN1/qsi+wQMnrfACcq7XcyoYej2TiROmmDCab1Z15l4faY28RphUBl8J4bqW7thlTKKEDwny/
2ZMQ/YzfMoeLiteISprqAjvVusIq6CuUdUw29R0S7wdilz4pSbG1BFM5dWxOIhMMeUkTQ+ucr+ew
AkysozYerMpa541j3lBRtkzJwFww1ePmjbyxRq+tDS9Agj6MAc+8mthwiUHE0gqMm0lrtYs1ZA9D
XjZr3wYB6zctsztjuh8DEmRMLBxMkQFxDE6yLgqU8UlSfLCLbtgOKa15BFSYgCy08uBTj8vgmNE3
IdOTkb8jJetcm+VVNzoNSWX5l6it7lQNlopqH3sbjUIbH+c53KpJdghFeFJiqtxigumrAwnbZ7V+
q8BQXUv+vRvyt4+2lgwuwpN9YeF2NxP+w0kiaAb9SB7tF7O1Nk0yLa8mnbT6bDoUYnpSiV1cvZr6
qhEUASAb80AMzsYegxGeYWy17Yc8qPoCZzz2ZzcUdXGnIWm+L8ZxeBh9lXQiU2n6GlqubTwGSWEc
sIGmwSUlhM7et5XQH/3AVP1TjBJ/mzGEW3cO09KQWEZjRI+GsAEcLvfLToel5A0xZcTAfecZJcY8
7sKHTu92M3KWheGwC1HuoaDgeB+igDFm4d/Y83wec3AHcwaKlubukppB8r5DJuRlZcTrKSEDrgvi
LySC3tQmbZQYoLxGTQkhCk6otcg1nfZzNvX3lVHMYARzcLn1/ex0CGyU+eLo0bFLJsMtS+UJOl+/
KvKB9XZ2Kwlpc9vWb3ZVKthYNP55ShTVnVqk+CKIR3BJg0z2eaH2vLjyJ6vooRqrXe1aZnQVJfEn
1R54G4yfRkvd5CCmkC0aWwLYeQ5T8oQtkbxTRtgGwO6SnU1pnoOOwGkuevtMiFW06af4i6mFOCvb
vZ8zF7XSyJOU5ytps6NEbkgVnQ132YzdJfR5+8G7DTa5RmTVhP5yBefVwx356lrdar0i3WwgZlc1
q9soxruU1taVX1aXoiGokr16uHLoSapQhasks7URiI1R143rWPk9OVaXAkYNrI6cTHbzAxPv53gw
w+0wpsehHEHMju3RL+cPRgWxt4zOk8E2Qm3NQ+lDvu/ichM5CiQg+1HR7GirEXrpErEqVx29ds46
2DWQNgLcX+PRvrMc7J5S1V/M3qk3w8zLViMJLc7IoqapNPmL4wZRzUFvbQAfEfkSUW3tHdPi/Uw3
m/QzotboDmTuU9VZe7Xi/2unq74Q94nGV63YZCkDk+R1wyJLBi8xpl2DlIlC8Kd+aX9p+/hz2chj
pobb/+rJ13pySaf8RT35kn8unqP8J2Ka5Qe/lZSMnWwmN5SAeLLV1+Lw75JSX6pNhpcYBdkHOyxb
/6+khMWPyIY9rEPsEtPfxfP/raREgQN4ToFj84fbXsN8O3LCpkHAMepyhOwm5S7eurflpMVgxSb+
XJylgF7Sgv4kD+fFHyCGJ0ZqwkxSNoaMN/UUoFZF813fOphdb1RrobQwRsmt24BjyWYQMmnrrpE1
7LnImp4NAfzTDMkZU5ceLq6Wvk61523QDPwTANwt8QA1o1T6Pwy7o9eXwtnUNIeEWSrPQUW/WKlj
uSmWHnLo6Gb7pa9ExDx62tJrAtqvH0H4038uneiMtf4w5NYhjmtg+LSrRsj7uKGB7dTuUzYSl9Iv
vW26dLkp7S4k5tO09L+ZZXjYlvpre+mNM7JYPGfpl+uJYc209NA1qzXGNsFKm5zEs6HNrtSl5561
gcJ2bC5xkwP9nNr0gcXqdCflhwgsPa1sch1VQbgmdeEmntt8xZTvNCnwd3GhnQeq6iYaEOlzxult
SurIMh+wlklBi2TwkL9OD5Y5Auei4jWvwwXSBAeooEwcyPNbgg+ZQoCIw6vOYCIGfe+2kc6KlZlF
0hfjzbzMMfIGpPXIaKNYZhzOMu3Ajc8PJfMcbeCYMnUDTJgyO1xGJPUyLJlf5yYjyT5rSqHF5BUy
R18xbffvALuVW3JmSsXjxs73ed33EDmZc/imsE+Rjhpq1To+tjR+OD9J4uVuZBc+pCE5eGFuPgVE
R68GxI2e1J2HRJJw5LflF8XJMheo0FXqh/Dm4+mcUka54ZR9CWeDzMqgPZMJyQ4TJYOr13biOnlC
Xlhv7uu+sg6qUUpMcdMd3HC+pizb6iH/49Sc46PREe08DaoDMIcdhLFq1W4xUfSDqp96oxQHosiY
bpFyj6G24XysqT8UghwNzVUblERlnLZXjO1pJrjRzlDRzE1dGdXR1CGRiqKgeh5UMDtzt0Wp9pj2
1rpVRumye20OQBy1VdoHcmPovn3N3HYjMuczLJsrM85uiq577wvt1JSW2q1UUV5PAO73qklIbVDM
O2EQxJa1RvpOiX0f8OFLS0BllFoE6VpXU1g4nhXDgBwnz6RG4DOf7Sm/MrLsEf7aEfPXVRZywkSd
4Z9ym6IRvL+26UIs9tMY7Ksw3ddxv0sqviQ7BGi7OG4F0QArKs+nALH5qjWj89hDFRhztOyi7TPU
npUrzXSPOMKzseRkLNeHIpEMVb6YVsSrJduApt6USQWiv8FupSq3ZTOswzLeW6jnnAEvsmT3HbZG
uOIQfm+nylnVu/dmr9jcpE5h0vM6JrS2+UtZyVssznurQ2dB7K7ZkiaghCR1isSN+/4pNLWtWfce
WgWIfIZ9aZL81i7Uz07CM5ylC/5putUFAQRZVZ4m8nJForsl33EWd4xKZbsKcPT2s4Inxs+e52l6
Nyz3o0ziPREXl7kYz9niOImDvT8WOyI1ICFy+dRQbrJ8vJ5A8KnztM/9JcoJ9zSsPmwnO8tU3KyM
d2YzboShLMCf6Nm0ocyLcieYXiah5SHkOOelQt4OcAeEi8SUdMFFhdcV9cFuVOx1VogrGk62xhEF
gYpXdXQrHhFVV12/lmu8767fIrZIXwq/ux1baAc2cUE0wtGQfzRoORqiVbDweXlbE8Grnmly75rW
3MDeploab/XRWRbt6tpJGaYVg7LN8BI4UJ9WCxmfFcuG+MYvkByuecNt6MjdJrTXps2YN2jCvSan
3TjXHxXZwgm270zMpXaIaKOfbrrscz6VL5WioO2BomFp0QYF9QYW0zoJdC9UwKFq4Q0ZW6ei124h
Jn+RooXsQsgR+vBSUXbC6Xd2IzZKmN7FRnHVIkMBM4EJCLGlaZSeLxDiKd2GR/G6ceyN1JqD5pNH
PJL7VfILG/MGUCDRnlDYn4eu+Mi/ihEEO72p0clZwFWxtsLBRTL61OSNm9viiCx7P4MsK1B3rCAY
bkIk0eRroEZi7EDCrWlt1bb/kHX5Y8sKYkJ1wvTIK4FbuEVb73Ibl/ZI8stsOFukmBhulQ9FHd8W
QlJRjyCTO353jhcQn2G1BnenxRazv8mL9Fhike5Fd5dG1s4e/TMIln2uZ4fel6ewIDY+76JNlk4X
VNsUp3BeBvsmrp0rpsQPpblgepTOVR37vV+jkaibc94YtwzUFXwozV2Hv7kvaQnrGfi4kV6lRoCQ
sCJOj1lJvbyo5uLjlLRHFQdZWYY82YO7EG6aYSl6ckrm/H1dTgep4l1R9fAsfMX/FEwRnvFGH91Z
bQ81Q4cZeGbPwkmI+DOd5/u4zahqB8gDiBwedINDnUUqhm6PKIzPJoCNvK0+kly/h4dw5n0beUqd
bOXQHI0ZmK2E3OXOinwIjabcOFryLgNvt6rGZJto8hIndsx4u4SmMmhIaq2dn5juoIrMiwhH7Rs6
nWAIXDmp6ySNPSMEABuY29gfsdFMn0tBXEsTP7VIhJdtM09Aw7yhtzy0bF4dCkCyVAhJ27kZ8RBr
dmK7Ht5P3yMUipQtauVNRHZ4XuDRZh48roJx3oxZfpza4Fi3xjvmWJw1benmDZDxCBJSOIhDrurc
6/QQ8IBrWexT0Z5mOP9NXT53NpihuHFYMpNSq9OsZQrH33cl7eXr+vF7vgT70u+Wkl8rROSGC0PK
AsX8ozG5HeqapO9cnJWMoUpCatytoDn59UXeig6/XcSU4K/YHmjqD1NN5oHwC3QpzqP9qWYw0T2M
BeN0crZ/Fw7/s4IXGNbfV/pB3lj4xSRnnyup9nWoL8EwyPbmfWHex91jBDbh1x/sp789nibso6g/
mMW9ra9V5iw2wMPg0ovHtjtWwXOePv/6Ej/7RFTLFMtcRkPD8fYSvsnqyZnK8EJMVDxsu2ny0pCm
MthGaKvV9vrXl/vJJ9IlaBV8SxBS2Hu/vdwym1MnpY0u6GJWkYYldEmy/81nQhHz40335iLLn3/n
TGp80Rqmz0ViwAAtWFsnXP//fYzlY353BbSJKB5Z/l2YRZoLU7J45zPX/PVF3kprXm/rNx/jh6+m
TBDW9FkTXUahrULDdaKLzgIIzatBQkVzVrvmN1f82bfDTJx9JkoCA3Xx24+VRHYW5eQvXazqhvRj
eIx76w+jjZeeUUe8j5ES3AwZKT/86nxDEyYYyPiCvNLLTPaJhTuk7//8V4cLzuFSUrPInnv7QYoh
tKwoIs+4Lh9y8yqkUyR5E+PSXYynliHl4N/8+orLPfWP+uLrl/X9FX/4skKcVXUpJ2b/o2DM/wEx
yG9eBvLtt7MggeAV6RJ1MJMAntcfXj5NoYdJOMrsEl/V+3bP4Xli4e8ZN+Gt4eZetLFdsfn1p3p7
yX9/qh8uyVYHH3bZx5fehHRCgIbq8FIodr++ys9/d7CWFE5OwzR++LbMWZpWmynxxa9AvzHmtdvf
/O6W3/6P3w47Oe42yP4Wxvq390OJBI3Nl4gvFq0vYHKqzcdIhzoTx7/5LD/7jX1/pR9ecHTERU0u
R3yRxkto3xj+XTX/5vX280ug94P4wZNk/XCrRTLpbX0Okkuen41uBKaortTO/M2h+rO3Dzfb31f5
4atP6j4k8I6rRMlzKna+Jrxa3xhJ52K7F8k2NX7zHf3rY+FpAEWJxIqjSIK8evsd4U+xyswq0guM
+qp+JByxmm//8Eb74RKM2b5/bed9wC80rNLLMAOeEsF6io3f/Nr+dS+/XmLZ4yLsWgI0314iHsdM
QE9ML036LOY9XIDfXOBftzIXwAgHjctg8EbI9tsL8Oq0BpnP2YU6L+tYxsb7CPhf7ry8/q7+82ar
PJK/mMoWDGX/veRffujbRJYlv+PYlGWkQCkLa/W7Jb/8C22gypHDGfdVdvttIiv5IazXFhwXw9Es
7v7/G8jCjWOzr1tIB5kK4qf+I9LqojX87lXHil9HkoT5UuJkIx/1lff2XWlSFRU7gDAOLxUpuvau
SgZ2BIZ1liRb18sC0RcsvEvGTuTllbPisLW2dH89wXuAPaZksr0bTBk4X3D37WqRa/5TmWSx4g3Y
ksWRaTN6XMlwTHrBLERw0ZM8ytgh6SEeDomPgnfSbMwppLPG8RHPsdZdAgQnk41i16KomVb11FlE
lNRRFe6I/eReTmNDrLTRqo1dFdRwqfKsIcCjGtL6HLAPpFTUpsHyApAZbE5tk41v24kXg/DA7X+3
/teFBG+rX936P91F8DN/3/nWX7RXvHQM9Rv88NsugofCNNCi01qbpsK58fcuQmPhIAko5JnghaXx
kv/71tcWzy+vMAd1iyP5sT8L1HF48t7e++ANKI1YhOEipopd/vy7e7+ZOX47ozOvAy2fr7B0KiWT
J2I+dbxPuBXn1ex37CiFaobp2m59q2CYnrGI7aL4dXiopCe7ixQiW8D+mVYAEXUSOqOgTo8ZqbS5
ygh+JkcUnmrLUO3D0LGWX89KoKNKSSzhlPtGr/HQOD0MuZsutlhVhoLsTMuAvdqN+QdVYUTIzmbX
5uS2NU3fYpVSYN1FaMS6QDQbv1Pexbl6qnMz9ZCOr8nPvc2nZc0uR53YuhLhR3bMK/9KDuP91CDv
w9jlr8oy23blHp4/k6MA2V1kxpGbWJhu0xFEagQmd9X5M/q+cf6QWc5FKnh1UiSIomvgl6D4W1F5
wv3N7EPN5EId23Eddf3Hlgn2Cs0e9APFYH44XeAIk3dj9qZrdg7Glr5qXc2ax3XSMilSEH160+KJ
thXVU4xuWsedREBk95+FPkKYg3zfsYtwM19+HseycDujIQ+0woHFLBD+AEYi4krRZ953BoqNuBqu
mo4CpI961ZsL7Y4k1k1lderGT7DTCORMPr7kPXVyANevuI7V4raqBjw3cHlNdvsj1uAeBYW0sLB2
6Sd9KpFchv261djupAnyf124YAsO5Id4dWmzWSXFfsWOJia8r0iAM1poarT2lGFa3CRpHV8hu9jK
IPjQEU5EJ+iwzZ20CNZKAJ4IOq7utK6s2kNPBAib9vpDULBYmBPjOE3yriWBBtNwT0awxOEV3wZ5
fwUFd51YUbcyzTlCOTCloGWEv6sTP3SV0bkoRmF5dqW9FKlsdpJMS9fIi2tDAnMINXLrtOQ9pfb9
kthUlNVZhGA42SLDQkp5t9ppjJYouyeCGBoP+2hFe1DKrlhb5Jr1Q3o3JsYeVcS0MpepdWjTfk5N
jCZGUcNjWTIh1hxyIcJh+JBzHoLEb4l0Gu6l3rzTG7xeQT1v89A5x43hipilidGy/GdWio5pcDsr
KddVgv+LuCS8jt2dH89Mh2LZMRkN9kGjB7uqBUpjzg/M3B/xSOOBixCk42ir0BBDgNSV7n0fMZGW
iR6tCzM8CFEcFMt5yol7hOhJUJBayDs63Q1exndlo2yFVlwAIWNJjbQ7nKzg3kIFicwIlQcWb2SV
wtWSaDNGKRs4K98inH4CUj3ukFjvur7WF8y+4+YCqLGWYX8jzeEhzslvhKMJ0XOc7aOjTEiuJGM7
Za4Xc/0mG9A9+Gqqe6DRzZUpBoz301lKnQk7OvKirq4Jd4So7IeHOiOG2pTjSxI5t7FOtrIJVIUR
JUiiZp6+DD0MDpLD8jVuNN2lpyJ+smnlFnlUwTQPJ6dPSqUJgQEhMXG3RRmR5zMVhqtjHEyC8ckM
2xxSSp57o+kQsFedpNBfEvYg62JMCeBeZDQGepoZXU2NviYoot00Fw/5q/AGBY61SHFKNDnKIs6x
R4FCrzMZ+qv6PmizYIULH5e7Gp8k6h4c5VtidY7AcxknQ1BJ432IGsgPiXde5EGI264ApJ9NUb4r
FwGRNhHOpyyiImeRF9WL0IhwbMLIkB7FaJDyRYxkLbKklPAQYxEqDYtkKeqHe2cRMXWF4JlehE3I
tR/GReo0onlKFvFTZmMtdkYVPRrKKHV4GRahFFaHyMsnHZp79jBO/Ealw6x8aFXP74v7V5mv1oh7
Vae3CzDyTgn6illjIN8Uz46qP861AniEm4G8xXdlzRc26FJbG2nb8IrI8fZCsO6RPCL2lUhnBsDP
aX/N3umWj8qaOjxDVqXN0uG3Br1QVzMyQIvDfR3ayh6+A8sw3x73+mDcqaUP59SZt3UavWQD03pf
BziFDTrfNUn/XsuL2WW+B5L6K0Hivyrpa5VE7fK/q6Trp/LpJ/0BP/OtSkKxAZwJrS8eO+drlNC3
Kok/YvBFDh1N7jL//A4JaP9FP6FqVEgO8CETW963BoECCoCgw5+AWlIQ7tp/ZBRS3naQdAjsi0AL
SjQDFF7wm95WSXXVZLrRq/O5LGEKAXDjeXcwWpfG9F7G1dYP7Wd9kNXaL7tPSuc/RuaI1WDUj43h
p7y2xfslhEExppMxs48w2M7igmt540ZnEznk5NsXJQ2kG9ENEKmgbMkKOQ2acVVkxdYOnF0Xq2eI
gJjPoey7dYC1CG7TnWnAzGg1+SLM/IjuhcFqrwcny0xKgMgJsLPK8CaVJ4/g122mRXvFGEAZq/Y9
3plLo6Znw2EH1BEbwc6qT1FqTVt/RDw1Gc5NGgd3wZC4sKk49gxEFEFaKHQ+OnF2QXya5658yluu
Mxn9dhY1OGqkysKUu0wkyiYYZb3G7hd6rRMpsA2C8tApQeKpJWSrTrWcdUL6YpQaG6dKP5GUsl7M
kauyb7bYIljKFHq8HbESbiwF8MyQ7AhkxkPROm7VhOtaT+VenYqjpqTRQSJKJloCFlINispPkAMn
BW+twbyrZES4oF23rkAyB9ap1s+kQuzzgXdbMTtgARoj3duWc20mGrKMnKD61n9sAvtdLFggRkLb
6ZP/wjQmx+MysoE3wd0bMYI4YtZXQteJP/Qbgt4z5d1ksxG1RmNPTuC41oPylgzUHbIOyw0JQXSD
uancImp8xh09MVRKEq/KmGiInMp6DqMJ7wyHihEkz7XM2UBWS5KSmNVbp5I2vWLihQYiOOTp4Vq0
Utn0ry60dDGkJWjsyDXEpEbnN7iDsJN9iYNtXKxs/WJqM1Ur3raFkVY7SNmFf2ejWz7A1vociAJf
CzyHw1yGJPOm9b6ugneNQu+rtOpOFyUBUq3pNWFneL0NC7LPi2Nu1ydQM1+KMQcsPA9HZew/lg2m
IKqx+06tUKvjBIQxUX7sG1sBPDZfdfl4lWWK7tZ2jLLVRloOs68djBPVCI+EuG8HqbggWXaxiiTI
DPSz1QTbzkbLEVGXIrApVk7SbGkZrlJChCjE28e59M+9krx3IFTDFfL3gVpRoqFodGNJrmMdF80m
CvMnR0lOYYDFNQ0IkXKcU54S5WBgxhos8Tnyo/eoYSs3EAGxQqryWYvK+x52tiD4eFUjQXvqa8MT
Ujxg/UFD0donbeQkk5OZ3JiJ/sgc+NhI67M1N8fJKK9nSVkQzTqpd8Z5LAr1lNcZBr4q9UrLPGpj
jVkuJr5TDW/7QOlWSTTh8nmXCE+f7GMZYZ3qATWT5wDkvRTvot6C6JykNyjABJVb/VCKlhjuzqfc
AuxjoDAiZGKtDSjiCewSwtzNixyshZpA6gSrTOqWVRo6J9xP6EKSM3MJF87BvlZZ9PYWxq8kmx8d
s283IDldk/mIgTQmFXFANl911Q3z3imjT2iAlJUvJfnOA+75KL5rU+OTU7PQ70aYR3kFL0QgBJeZ
z0NcgFfUwtbLKt6F+PnScdvkiMy/Ls/+G8ktFJv/feKe66c8YHr5Iyxx+alvZy7xRxRSKue39Zqf
x4zh25krOT6XrQkEHNsw9O8xvNpfbD5NBnLIK7+6a/4+czXCHDC0cyZDPuSo/iOXvFz89m8mE5zd
nN6kCiuUgTh5fpg8V6acogGT+wkLAdLoOU3wQCISP4qxUo651SCCFsrUPepxeIj86cEO4OWXVvys
9YYkvJdzjmzzlNy9SlPivVJWpTfGEfcts4ziPqh7c3KRiTYBrjn01SKOTBUvmlY/ERYXvbSd4uOF
zI3FY8ZLIR+BDsIQgZxIWA6hp43qAATVEdrXMTop2lzSFHicGr9zIOlEpYm0z8BoN9b1F2EHcLoS
ynwj8mH/q4A2bEm3uDSTQuPdj0YtWDVTwFSlRgPSQT2cCwoIhVN2uJHafBX2zrJVuCL+dC+DcD9G
/gx3v0Y3yNHnFk3frdVGD2EdmlulFJcYLsZt6dvHtgwBvgSgegKnQS1N7Kb7/9g7s+W4jS2L/kr/
AG5gHl4LqEINLBYHUST1giApEvM8JfD1vZK2deWpO/zuJ0fYokRThcTJs/deW1fmfLvYsGg7gO8B
LQkXMfQXJRdYyWKTvIOJVF/Tbpqw2IGWaw8KuwVj6T5yY7hPC/Weoa60/KkYqhulzdezYXJxA4Ec
N3byRMbHdwbXj/qoxC1BX7tRk1LtY3p2Gyfe6rUL3niEqGOU99QgzLvGJcHotBigOs5FbojevsET
K9glbKLVsQNdq5LLFM8gZ5psJLra7wah1Hf2TGyYNlJWT7QleGO1aXRmqVQ5E+3YTbYGzXFszIce
7hmYD9yHsD92DFwpEZsSbPDabeiPbJ6taGSw0hSGlU2lx73fL0AHfnoUb/5fgwcsUegPbBIYEIi5
M9j+fpjM1GRWc4+Irq4mzQ5Kg/6SLPycZrraf3Vf/Hv+SZXo78+/m2IsX/o/n3/yq347/yQWDLM3
MgJaqWe7HI2/nX9gwZAdmPVUXBef8sJPLnGT/wTPADiBCS32p80sxDCPRa9nSQw/5p1/xgVz5Mfg
vwKsVCUcwHoQyKRqgtrxh4+JmcQVQsKiXSyu0/k+nSadoFCbnzOwxeba31L2+MizRSZ5KMKZmnJF
dpGVAI4txigvotA4Bb+Fw4njs6YllDpCz1QJvZKbAJ9sgFFeR/KwynMNWTmKd/hUL5pELjOZur5t
LV7gaKuA6mzPHFTrdwhYBJVGcE1YaZ/RQIqtayjDzpyH57Uu9/Mn7BnqM+wkY9tKEDR632mVaGhq
Gs8mj8NmhBpdKSN9XZ36nsKTnlf9uysB07VETXe6uC9dMdNdYj7Pi/LYrRCm6T2GEma7GES968pe
lpMCEJd3hDTFgrUW8K155viFUf/BU2zyC/u3btICfHE6y7YU2ogEZZcSmc0m9E3NnyApJb29biBG
ptbc7W1pe4mcoYNzItHb1ieGm4QaI1SDlHLoPkHd2ie0OxVduU+qCTi2qPI9e/QWrJdCsbspmi2v
Dthtqie2ePCLHQQo+iz0qdN8O+0oSInn4TZZWgCwa9HdTrWRsYXGZdFQ+LHRe2piell+nbREu8qK
JWTZ2k/12vGCGmFrmp3pbuqaaOUwJgTlvbrcRl5khZC0l1s+myb+1UwNsnnyE+pjj7BRWPWy9TtH
lpoFszf2xwSPXCg6XjgValEftOhd7OoMii7z8UP3ajekBGf02zyK95qtvE4Df30ELqiMZbG00SAh
btJeqfeAw989paYbjBjQtmr4qIKBO9ATSLTMyoob1+DOp1HtLEHx6dbTgOOahYHXcOqtELnhvRSa
F7K1RRXrlOLGWev4yE8OxSuaqxcXMs1GX1J1H6mYEChdk+czE4ChDXkXEHyENoXy9tosuKRqUqWb
3mLqHFylO81OPZ/ieexCL8GohcvXCBsW7lv+8kziexYde46JST3B8WoaoRQwko26lkaYeU3CqO+a
r2qJDkC6gjm/ZL8IZQyWaGNOYB9mTeG7rOwgq1iQ88zFx477wn5eoR1sE8ywKsROVzC8Mzp/FCgB
excx8rbW2pY4ptMD+13V7mRAu+tU8aVQNAp5VTqNKsjpu7povy4KtbPqGpGJ8Oaa25fwral/VuL2
saAxaBPRg7hNSiBdUwn7PlMdSRTOvmpVTUVxn35bPHIEOt00V8voslxuhg3d5regjN2NZaM8kixp
D95ovyfF9I3RZzfHbkKHjvIxZ4PclafPhpIdC7N4EgCjQ9Z6tk9tsTxEvDM/isMIQ5j+SIqa5HKi
dL9AcLlpteTYEMjaVF19jZfhTbe9x6lQQCh04mZYO/eAf31fr/19v3oPbWJHW3XgEtKO3ZZMQQo2
Il1CQ4egl1VIOS4Wzpk3c+cmd7GKWOLEwEHHwmhPlrrSnMP+fq70fVpTQ+5EF9eYz4ow2mBBRuVJ
YTVa8WEDnEgVoFl56Wvmgsmz8yHbx8aUbhwT5oJoPfNoY/namHZNVJhOYa+3OLPUsdraRntTz8q9
3fdys5qnx7gaeZTrmNqaZXb5lmDYLQrW7kZwJkX1HN+WVJeBvOuV21E+PKsaReDG+EOHxkq2GZnv
UEWVuitI6wau3k8bTpgx7DP63xVLeGFjast2zRJXWtMLThhnCSVwZhv1qRGk5G633pqxKu+sD8bI
NcjN9cAK+QK+7lQa2RXOl3JLPYBOTJl9uUEL8g7gKyhwmDthEUWY2NUaPIotrCCDCZgmUFGiNNVD
3RAc9RnfbVLy1Oozd8iiIpDEgF3guOaUUluYj3PF/6nVUWWVTGzAxkyzQyVjU5bRb7tpQdkiUrPY
4Jgaf3F5/DvqSEDY348698lLP/zFelV+1Y9RRwN6xrQJEwE4/ifm9MeoA4dJzhjYYzDJwDP9IUJ/
mixMvBe8VXkvMwb9WK+SldO5AdpywaqiHv+zUcf6dPj8ftThTgkVh4slWjna9u8nYhwZqtEUmIzU
wsmAVI6gm8356+TYrINa5dJIN2K/pmcSu4LZnR0EUu3WXSF0TsJ9r8f0DF/1C7aKgvK7llWlgfO8
j+mJdY29W4w7e4i2PPX0ePFPVpOykD2AMPzcW2S2U7Krhki2vWhfEoeW3GF8J4uwnT1jSzCKmUdr
zq0w32wTiWrx0o3R1xjG03LcZ0237zzv1JNhA4y6W3X2LKQoNkTKr2y9fnBmmvP0ZPSXzkzDZNVf
CrohuJg/JSpmdSciU9205RJ20BqpIYG8aNr90RIDKhG69aAre8/ATJ9k92BUG18YxkwQTdxWmnwX
AhmYbcls5Js74bPR/dWd10CptGqjlM7FM4rvvNmbcNEZ3NKY1S7B+i9osx9FM4IBqNBUqj475yY3
3DTWwdlMNOIlMOp8R9QLLxIX4MNCu8xQBTHW0wFh/gjHORgB3CfseDaV6x21SSGhaA1n4n7EgMeQ
e9ttShZ+O67KslnKOVRXl3csR4GiV7ciAcxput5zlml3KPIKlS2143OUl/5iG1/WMn0GxhXMBQmu
1KWExkjTKwzAp6xVPwCr2nuolGagp+OyZZCLiYIbt+OQPCYZ33/MGm6zkuHybXrjRrtmrVwZ5hbz
wnud5QelJ+UYs65MiQ0iXdm+SjMtmQEK1yIIW3WVPAH0uBMd297abSp0qzGMY0aNtiI4NSzgYGdO
OL+gviWA/W2GEKwvde0+0svM33vPBg9q9UYtm2foFVdDll51qZceAPe7XNwHOlV0Xt5ev+iI8Qas
yaGh5Le+Rge+gpXtED/A0hP36TUBxuc2a+lFKCQXNO0CYVLeRxvPZp4QgrVi2reaeqPrPamqudzn
WnTq4vHQV83DqExh3VcEVuodvG0onBCw6RacwIzYsyxsoFXBVacnAN3v/aSjP4uQqCQGhArsR2XX
FwTaR2txbup2Hvzcm+7dvNhR796u18N0jpR0t1DlF4vqolnVjT5F+8JaL8poe8EEhk8vBmMzkpgY
62QN9JWdhZ3x6lDKNCLFzaUF7wk/cn7TqrQa36WVyJ/NkbiYOn1Q6gLjrzQcqRvwqOb9q8gQ/wi7
OZkYiVy3mS+3LqFWWYdEa61gjcyyY2Sk6NGtPBEq2FlACxhEgggYgaBy6cnD7hGLBDJxlGe7cjK/
j9Zgks3Lv9fG9NSu49vqzNm27imXiI35ZiGF7rMmQroebGo8ybSSOh8rvTuRiB1OnD3ymtI4vLvb
VmfQGA5WVWY2/NrGth5YS7tumOB2CUeMFDxLbcXc4Ihu3bojYsnWrXB6YG5B9tqb7IeaTWcQt7lW
qnIZ771fvGZepxinUYz1abaqInnihqRPl3xo9nU8aH6TLXhgzNzc0Q4JyYGpSOviuz4Cxjbk4mia
1bjrlE6ErmKfLOCPASYh4r2F/dZyqSBUY7M5z8ynHOO5n0yYMChjtI9GzYc5rwjh8cvZD1n1tyYy
X5Ks04PBzTAFrIjTcJd8I6lVhitSmSod46RsOuETmDsvaMsi9UDUN8oZFuOtEo2n0q2/Ten8AQ7T
nwWGhV4T6iZuLOJthjgmy8FSZ5bETvOS5ix70mgmRMrQZMDqBOA+36t6dh313pWSLaRd9Y9VU/ld
Yusjn8qvlYqzZD3SWkStpdUxsHd3OZdGtHJ1IzEpxalInLOaF2rgifpljtcDV77OF6QV/TbF+MqH
8dp28pXyLS/eqlB7WOwAg3OsNUjFeF7V5eRZIvL5KTR7p4Im1tfqEBrmxNkOMNfxUgdQNKaUKlK+
DHmwWvGj3vVgQsyMimOFyk0392b+8I5udXDaBmWt/iqIWRsgLfAAifpSioaocj1fNe6gb1x3wo6t
ORfihWfIPuyxUD48sJp92e/jcXixvXnZcku6Xwql3a6lRGp4vECsjMzryI1vnKtHCKHHTMFc4ozr
0wjxa8dTZ/IZWOFFq7rid/RV9p73wAG9U5viKi8T6fUy9kZWP0CsDpXUET56xaGdjZvJbe48q35N
edFhGlKvTXU4mRbP3VSZURitWgeeuDvE4HM4dSGysVLJNkmeHzyLDrEprnxMTG3YW0BAiXRf8nS8
YRLZVfrwlZaaPZHWxDdHnQ/gaIptrrLhVTW3DTzwNSE3osR3pqymRGsKK4WIn60nMEf4gZKWLC4Y
3LKN6wxHzEfdprW9o9OLh6KCF7rUvAQ5siAArXGozNqpqDzbx0MZQ5mrihMMpRtbQ+tRelpUhkot
D6vOMD8xO28Wo42AoxgH00xvkjH7qkCo2CmVi16YRhxw1rxfS51Hgnis3k0rkFWjDOxavFV1/GhY
7aWvnLfVNN6Ere6angt/Hj9xqbAxW6WHqGye1NrdG2Z3P7v6ycgw3uh0hKpFQjpwfpHEgNHR3z3K
XlBSb+EVg44f1PvKlIc4xDbO+sT/nDb/HbslrfTvx+67dHrv+vT7X4gs8gt/m7xlIxVsM92U3T5y
Tv6xY0R+sSkXYJGIwoGB4Sf3J4wKFosIKfgNAJxBMPtJY2FQh1LMYv1XSMU/qHX5zPT8PHc7pNfY
MOKutm3Wb3+MliU6ncPTaOCarFvKCa+U4rNsiCVhX3IWmll+8UbdyAMu5ZqsOxzXnYYDz+HBTS30
c7W4jDWFQ3MplINlVcZ5ZE4MZr2vTgC3y/vFAIgzCrO5qtKhfhviYT7q5Zzfm9rcncw68yp/EM57
pKfI56Yb7TSwYPifoVd8S1QWaFAGMCx1c4MpsAhzXZuDtais14mt/odipOud3tvpSBQYxFa1aPRS
u/Q0NnYbCD3TOcKy0ockn9+U5Rh90Vnx3Y3gApN7NbPyuMcCprXrAbUbrn6H6gUMhxqaWOcPHHF6
wmFEK+uSgHt9vbyQwZ5uu45GY2wDnQ63fyUvf03SmkZGK22zByVbLUnyzx3HF7rddpu5M7BKWRMJ
GqxUnA9TSecjy9+A1hrEl+XoDk0bMLokgTp1nnWapAhF2SN6VCmlKWzwqFRKKxWrJa0MI1y0Pjss
CZvtoF7NO25Ck7PXpfBVo4ANWcHWxSarfLaydji4rZtOd2uGcL5wkK2Gn/DBnM+lVyyV8ou+8e+J
YLDs//sT4f6l+p9j/dKSzf0L4YEv/e1MQHigZw7MlHz6f5EQftzGtf9YgGEIwhgkHyhd+nEbx9EE
gIbbsYEP6tfW1N/wNAi5LqDzz9/sn17GjU/H98+HguWS0CDVyj4AMrPzR92B2GsJf2TpLgt8D1zZ
OhZk5PvKzfCUJNUlNe0zz1NybVuQOFfbuqXmkCcuVu+MyLzLO25XaK1MVskBMsQpcWj3NsarnIup
Mq3HooKMXGkBqBN6HkxBoYlxRaF5sTHG8pqTdBfFzlWfKLt6UW7tLHlwluqR27BPJ/e7y96bpw/+
YnXIcd8mxClYQhkHrs1fu4WiX1O9hd51PS5pAML2WjiYxT1bXNmgcCz270xTD1abbngxZ9uim1+9
dDhHrFmHzvhmxEU4DcOximxcVTS/me11lCTXXs32djX9OGmuR+AQRt2eO6E/QqHfJxqE5WXZKHl9
ybTsGqrAdhopEOnXgBv+s5f2N0kynulr9yd26uYMFrWwrzudbaH30Xeevi0ziuNp5DvSkvQSgVtI
bfMxyyYuqdyfrB6v48oiLQvKhkqkprtf+gUfiEgvseXsc2cOtMx+sPpyvy79XekOr5UurhW3uuZY
u5rscg+94wildz+2GJPihntTg/cZU3jkHYzYvHMSh1IYiBiDU7EXLWiuGh1loy3tqY3yF6M277zG
9hOUdpqnnMuoDFexXgZrPB06GAm9o9xlnjhoavTVLJcHqMlbuwKP1ybYsdFyWJ6rre+U7Tl1CwA8
cytuC+iIQZ3aLw6QrrBpuZE01ujHonnUdTbv5SxeK8v2GL+6WG23/eLNK/tOt8v2vDqSw1BjmLmY
6wrAPjPtyggJGeOS0Wb+9kV/sJRaDet25KLJXJrXQ3OswJT4fYsIrBWacRbWOnFD1bC0CNzIHic/
rR9rdqdrOq8bODTWEO+zilUT9jrYHSkug0oHKQdrG8RHgy9+cNUMg/Zs7qOpsoLeXu5Tc2kDrkII
1wZu5nVk7MZVjnwT9w/Y0NRtbiOBZYV+m7rcBNfsY7bAnHmKTmdf9MbeKqDt57KyUTK7/Lrt8znI
UXOwJrxjITqzjH1UeBdm524cICstJkJNQxuIYcfbtKxv9RqzOoSpAC/dAKfZ5jqRSMJDY77GxDI2
KmGFTdO3YwAc6hpViuUN7aqeQhhpMsfSnybMO7nuvseN961a9AcSdu98/8gqtdr7y2IUgdHAUWIn
3ATAzjFE5qB9poYhvegCKG2XKSmPOIK+mmL5GB0VgLB7xFKNXVwZtwBMv6arvvXKor1eornlDo4A
pI+Kfa6L6B44NDccDF5bPZmAXZkGPHWteoIGyE+5Lb8rtYvnS8wdqn5c7bJcHCKlCDMoqr63TmiS
rKaKQVzo03xlI/0qzAlntCj53Dr23rABrziUhMVuR2tiq+/cho13a+hhVOtPQ4vQwzGF0xD/X8xW
crTTpyWmPshTzLc0apneubt44/CqjB3MdV7PIlKDtooeaWhjS4ALcNVHPGy5NEYqum8O3O/WrvmS
zMz+agY8QBAYQLaMngz0MsBxkcPny9hhGmV692Ye0TRfsMbxWILu6vn2jI9S1UU4RbHsGeqQebHn
z2V7SNPV5nubjo3bX0SJ1LGAFXFLg15KleaTicuwehxmd8XAhUclVbhtUyN3lSfq/RwPJ6tKvmgL
Fm36GIIKLhH309kIbKFcpdjuGLDyByDxSANl4wSF02CdT5K82nVzHye+UkcmyK9BZYE0JQcT1jdq
krmpVGjz6opYu1QEb6q+hB056nRWLbeNDK05mihu03pK/72d/NKRIrEgfz+LfHlPXsq/EAXkV/0Y
QxAFMGlh7+KmgaPhZ/+DFAVgGkjGBROHiTXrt0ymSlqTqnVeszIxacm7zm9jiEdPpawyw6+FW1oC
9P7B3YSc/p/8D8wgmvyzPNzfn+7un5NpVYFzoODbuExekvdBZhgPsaVyElcKjT7xVhtAj1pyixBN
40HMi7apS93eapN3HCxYMw3r/V2cLV9cpW7DMSu5A2sp7WV2uc3G5i3WhaZtSETS8WXb9agEhjJ+
7V3G6YX3cWh3dnQFssQ+ZMIJ7FY3cJdN3Zmk34gzV092wtFeYXx+qNE47DE080oHBeEjGOZb1kJ3
EPJvWUXYty3V036cz6Bri2pEUIavDhQPIPmITrF4DUQ8vitX5LssHpW9Bv5rm0mdmWjdd413OYf0
xNE6VKDCbGkPiBuIp4NBbCuPKu0S6XizxVjx7wAr7B3ebfQdQKKTKmfnqKwnpPK5Sg2UWw7LEmTR
Ank0QyYVyKVDV8qNhv4ySCXVlppqPUwWqw04SVbvA/CkB5dOOHj3EtbbLuGa4KvqkGndkZ1L96nc
uspDg5TrIemi2rgHq11vupnmGNSkR6N13mpkYNrEHKa45Ah94MYaoi/xhGI8c4xPDEQdUrKKpGz1
c4+dDZUZt4ATNkX9lM3FkaHiWUhFekGaFlKjHuEqp4jWFonuRqrYGi1xiMUo25XNjwW5FRi9lL5T
HIWbXMrhOrq4iz6eS6F8lpI5l0qxVaSMXkpBfe0pjEFhd22W/6Zeb/OYcNkSpwmMj/ZrLYX5Ukr0
wrWBP6Pa1/zVF58b4XRSh221Ytm2CxomYnO8aeQKWZXLZEBPb6jvTxNb5jKuzF1kaN8buYBO5Cq6
ivRNJJfTceVMO1surFf6OPnjOfFHVU036udmO5VL7sY0DhDMvBCoZAbftOZBYCe+cHib7MgNuSz3
GCe3WtbnwWjjtanYJmFwKH2e/YbQDQv3FGcA4EhaCdCxWHjyjABYKzaTXNVHBBANubyf2eKDg/SI
1YiLwX5fZ8+fsO+3c/egsP8f9QPv1Wg+e/yevTncN1IqsNEM8tJ+dLzygphTwInMliBCX8g14JdS
b6iGJ0cKEDVxagJtjbftHa+j1JoavSGrdnXenHUdKVwpH3oUjbyNr4ayKfcaWkeqLzc62oc5UjhG
uIlPuwAUV+j0Z6jFc4J0YtloNzYQs0PWOle6V16nyCyF1FtcqbzUec5QLdWYOEGXQZxJDyNSjY5k
oyHdFFLDcaWaYyPr4Ax7BGp+0aXekxBeDITUgCzeigGAG9ybUiFSRrqbzRIUsb0KX0FGmu3okWG7
wjXCJLEiNa1Sc2JpB5oKzlyDJBWt3XsrNSp9xb3VevpelfpVIpUsjx8rAC+yV4hcw4z2bkjdCz+4
GeRTZ0MQVD/Anp5MRLI0oTtPSN2sQEDDu/K8IqhFyFl+JzU2LGMKzRzaHUnjZy1idU/+91aXypyG
RGd7YzhIza6t3GiLF+G2Q86LkPWmpD+rnzpf4x5TqfxFTnlbIAUKJ1WOCeJgKlVCdRBHG9lwkl55
2r0tsqhF4dsVntNC6oyrmpxXqTziUReB0hUf8Rp9aWGnI7bqjLFSsRRJ9r1rrEtco2WqUtWUpjm/
kkrnHCvrfkD8BOdNdq5dbxepiypSIc29+F4Y6XaU0ikSqueV085suiPGZu6ykLf9ViquxmyDAbRr
awf7+gk/GlR19aWlfyoUUrGl9fHaHssHHSl3pdkWz1G6NSdzJ4Gl3OVO8Fn3WR8N+5UPEQ0ZNuAA
JOLF0d5oBTxbMWe2kDchxORW695RAM8DIvOKGOVI1blfRh/38zMFNUGUo6wIBOooV+HQ4YOJsdZN
fAhgpHJyNxsnRQ+wpMotFudLg+y9EqzLBw7K1LChkxbOnocbDChiuWag7Ineu3Qe22wdQb3gc7tx
C5PiHbkInnSF0pPutrOo27BxXIWAN194d3b0pSQjVrCl3qrsDS8unbqhQktC2PXdU5pr9xZWJ5/c
zIPmDM8YPCIywS61AqjlG8ZCqOhCQwp3Xw2yd2EHgpnv77XLqBip3Pp7H620CWTaFOCuW6+rPLPI
TrU3vPPOs8l/m6kXGzziTlCjfKNRai4J4/dIxppUp/1usIjIMq+HqBrl5BCis9bYI/2RS7Lzam8K
YkFGK8q4+PGUtX7kUrfmgHVrmhRVPK139RjvF6tNSKK8GgoT+KxU90tN6jJVsm+00L/JnJQhOaZR
lIfMETIKP91rknUKtN05wiQ8UPTHq7gyoVBKNip3wwU1U+svLAtoQC4/cklS5QJ0IclbbHogq6qR
lnSaNh+uQomRCoh1lhsDpQWNGgNpzSWttYmVJ1XyWzu3OnOaQ4U4m1MSJqlpKdDoETTUIffa67oo
6gSWeapiHifnO61oIV6bXH2Oj//u9ExW8n8/R9+nPRGbevzzQk9+3U+TNHgpjdSDzCNaskbsx0LP
gOQAo4QdhVzkS6j0b5M0kUcmZQusF6ZXjx3yj0kaew0xQ5YJUKtUVoWYjP/BJK39eaNn4sl0GJcB
jRDooAv+f36epLVohAHQAWAXnYqMNpkz9j9z2qzmvKesY6R6jCNjVGf1wv+EelKLkuPWTp38QKlZ
/US/T38GryVbQ4wWHpht7i0x9tdzHjXfmyEqQ6eY0qukcAh8xeQ2/MZTZmNTYvW46btyuLRZZj4r
qj3stAiBw0cvK4K1iqrrnOXCd6rG7hZRcNBrmnLU42QOV2bkh8FdrGdwvgheujWehz5x2PpVdbtx
RiXfadZSfzVGddgkRq+/09NRPFlM2PvYYm0GM7l/mZBeYJu6dLt23hw6GbLDmEzN7ZxV22JMh12c
xk0wzZo5XYBKmtNbzU3WPGlQDCDED3U+hhqXBOWdEqosgWEowSpt1FfdxUkYLBwqgxLIx56sfJBY
lhWp0ZmvXQyxNgFPMxEmFs7ZdWiNmZpZCSy8AunJVipesOlYLK/ZpLclpjqPEGQknm16Il4Wjlvq
ugRNRXFiW8dlZKs0zPX6YlgWPh7eRCqmVqx1aYxzNmqm+JVPUkoZybq+RH2yvtupeOqUdlfF6VFx
asjDGs6F2erA3jZzrAEgHZcwpzAdYRO0fV4L1jiDlwPIgnZbIPjE6a4vB8bndqIzGuX10eQddCg8
7cFAht03CsCDRJ2njcVSCwN1b9+7SVMeBoUC60Zt7WvhtWpQ6rVHvdVgQf3r1RKPSeG9Kg68TWZL
4LKivCBOKEE3TOw1FKUX27lo2yEQUcqukqK6w9JEFYZvl6UeXoRvMepmsHpO9iCYna+czMzOPTYQ
phmHAN/qLFd9Tvx+HYVy4sPL/sVBi8riLnpy13J+qLKu2I61SO+VVDQ3yUTLa0V2gyIF05x6KCPE
XyheI6TWC6sPYrbLjh+zjkRnQWS16W0rjKMjZuN2sTsXB2Rta+8N/Ta7NmVv6KHgbti1/MrL+vcs
Nv/PFPl9Xbz8FW1HftVPJzGHLK2vMJ1/FUl+nMT6f3ChAxlj3/FrY9SvJzHSCkWTgHjw1BCGg6X2
4yTmPwGXYqVBPO1zqWH+o5PY5Xf6fabDcWT2x0HI4Rh2pOj780lsckvrcC4sF3eIuxsn41qQao3z
VBemflzmPH9eNBAS7jCp55kP/GZapyTASLh+dbx5uE/UugjXVeP0oOJk6ygD9WgAobYAg68LGeOc
DC26siymOoNip800IUwH4zq4Wwq2xZ777VHoK2VJQzIAQTFy1phqFWYVCVGoLKBdml58K5MkPtZt
sm5MZcgCvVJJtblug4Vx+erprZ/IEyoqnePIE8khqcyniqvQtqvBilOHFRGqVS+5MdZY1ZiMPZtu
xCS1WLnq0sJucNOjPFa6WLLsvVm02bwdqjJo1zWW0sRzIuIIbWLy07w5ZgyaPiCa/KCv3uwPXAJu
Yi1+UvOFMmajY7Svbq26VbdkzJVwsOP1uMajcUwS1dkWRnHSlLY/pAPNRGpCM3deVOZ2ost+b2uT
u8EllR/bErBNVE+3a0e0uCmgDROhXvFeW1tgxjWWF+86Mzh6p4WfjjLyzkpJCxKs1bRLT8yDCt65
ObRJf0Qi+oagLgCfs2hnvZVtNZLvCZVNg6T+JFvMJV1QyIh8RFY+M5XNIsPzghR9+Rmnl8H6SUbs
GWTfkZbYKnMXJM9MEB+qmJ+TzLcN57Z0uDHlQoQ62X09mwfvCnoOexmS/aTGb2qS/mrcU3yOhaSB
AUCaDs88VIBI4gFsOVGzoo2Jb2O7c6ry1EMTsCRWgNTPPVsKnFR4iGQLurkhrn1xoBFUUAkmw7rK
oBQ00AoSiS1YJcDAjuybJcp2K2SDcqV10YZ14JnkHldJP0DqoDLtgd423v/wEeyI/r8VYkKpd6+G
RCh4sBQgM4X0nD+0ErIgogaAkwQvsJ4iIdzmFuwe3bDZo7hr5zOXdcmOW+SVx3aDp4KkxpWG8A7Q
ZMHc1HjgxR3SBlcxta6HfwdjdGZLtZhH/34w/tKlGDaWP8/F8st+nMYcuYjYEkxp6n9I2Bn/wXFi
GfDPoJn9dyhmJ41lwXE0uB4Gu0g2z/9dL/PvVYr94Ae66j9EerDg/ONRDHaNCVvVPf7BtyLjxz+B
z/BTCruF63FTaY1pnvvPUopFgsysDVEv6iqE4PSUl9k3hp9vq7waCu6IQKVwoDqvywTVouEW2dEo
0cpr5SBbmEbTuVbllVORl0/OXK6h8kJqyaupLi+ptK9eK/Lair42+FlUX/pl+K7IB9Hy5u+mvOwm
fMJHef2lF/Ak5IXYoDNQ4YbcqbUV1PLSnAwUfREcKjbO0iGFgT9gGfs6MdOuZb6EhBtfFW7hyTxo
KHvx3nGG62rNsXDK+7rVzs9QHx6KYSn8jCu9YQ1PscsdnxYnN9TkvT/mcrTFcD0gM7EV0FgPOHJP
0MuNgctLhmzIpZbuMtx+96r0mxGOvhW6eixV690cytDAmNbTk2VKp1qnQFvAutZ5A7/a25dq9zRy
LtUCoy+VIk81pjcv4yCoA+wJb9gO3zq9v3Rr+mjhk8t5gwa6oWKds+wbsBzkzHDVlQl9a9mg4NBW
RnpC8/SeSMw1Np/r9dOUp5IHW6RRz2rd8pBpTOmWtPHNqnkjCz5OrVypW0rCgAegKUsIHhDls3dt
XJyJwKlbF4+g3XM3mTH0AMw/ujWuWJWlZrOYHt5WapW7ptJhNs2hK+2HXTqyKiZnHOZO0gWZtCna
UyS2lrQuatzhfWfR9108f41wNxbpeGOr40WlQsxXFK8NO/zdQtfdTYw3UucVtaGNjdKaeSU1joOy
VCx4EboShTxokT/X00nFb0lhjM6v7F4zpbtD4LyZcWbGGRZNW89CE89mOZh7T5b35qv9MBCXUsv4
a4/Lk6FK8fNVx/gpLaCTNIO6uEKrrMWrrDdHqHCPijSOFv38oLDE8PnSgoMfe6khfaaKvmyhzYOx
0uqPkoWtn9bN2Vy8S24iFA+L4I2PgXUU07wV0tPqzCW8mKxzqR5IadLA+joPI8Z5oxMvQ0RpIKmo
KDCkV9bI/5e9M9ttI8u27a8kznsY0TcXOAc4DJIiqb6zZL8EKImOvu/j6+/YkpXphqmqvNSDLlCs
h0LaVojc3M3aa801ZnTXxnN8zG61BqWXLVS1rLU5ATvJusZqMN3hwKWXs1gNiuq5Wi4fA6xDaixN
8zSiT2pCvDt2pOPGrJzmFsLeUBAKsYox6W0Xql/kv6S/tzGYATHXrnVtI40kcsoU/FR1lVv1QhNa
YlKsC1vPPyOi+YZoB4CLpX+rJvmLgxJZ7pOzYhyvVSFRNmopWJgjYoAxLa+Ctt4m2HxjrLe282mj
t07iVs+S5wEZgl0LIMr4Ta2rr77UHvd5c5mglsZNLIYP08wndNSa0w0uIMJ4ZgiRddTGMr30CK+r
pvlWCKxfMvTqHILhNoQMbAm5dp3T9qIKCffQ2+amEV7lNa5RboLSm123pMWX/GCHCryhAXqG5Cic
syEf10Iq7tdtuwymbtMIGbmKntwMhm0kBOaFkJo3ZQ3FRMjPax3/dDDlCD8mtwmG68agiZTwbZEM
QQ8MKVQXWWZULLqcJWGbp0kFmyQfPLJZWoa01xtcS/Kv6dfFO8m5djx9pQ34RZoI+cWZfoUB8Jnv
K+XSb+zkntpz6Hp9dyJB1KR9RCxsI7rDJpboo+vjJdsq0h01eBgyruStjjden23Y0K9GPadtAsUT
xfv2kqQI/EfhyIEG8yiQ0V13tQaGx+TaamebwDN1Ny4T1EndZWjohHZkzr1QQ1IDw3qR+Qk/23XX
hhnZeF63D3UeIecuKrq0MzVwzaiUYP9I3xydDEsTVOERaYLLbMwfTI21XSaA6fTUJsU3kM8jBZGd
yXQizhBo3it2KgTmCKXScTCxtaIHD8QZij/2bKPIZFw95WaJXcpD64R3REy623vZEr8LKJh85TOO
u8rtNdyym0H2lyShGNMuxMtd61cO5QosskllaoCBGKXuFneVy54z0W0i4t/QQDhtWPiHIxNlutkW
JaVIiKlF8qeQJgQqXMJHgIEzak6968s9jT4xuqSG5ibImEZuXER+sRsUHlfr0b0ouiCPROhgttmJ
opnlGZL6U87/YYa16QoP3XWTFLjljGq7iEUyqkyiZF1P5S22XuWcHsQ7CZlMEzZPfZksHS+65bCX
YVeiKuD8X9ehf26F5Y0zxStNgvhmoQNBwZRTzCP/BVwf2C5aqlykxXpS4XMugo/hkEvztMJhsBT3
+TG3rxQvLRfYoaNmmIZsURQpSpek9dZyNW5NicnQBJ26jGP7ZsioANmetAl9fwsDb+7HNBQPUYEU
KefnreICU0uFe5Dsww8yHouIHBFanS+6TM03Ks0LuTU/51A8vCIZVpOvfYtkynhahwxXVSsufEMW
LE0rod3chEIq47KxwIegmSnh6MzKSfli1t2Zo8fhYir4YitgpfNg1Px5ZKGSM6VoK4NLRTgS4F3m
RaS0AX6KHAgKlaNxQk3UagaqJjleRX4zuKGN+AYCFM1PqrBwFNkTGgSfACjRr2L71bJTNNnN066b
53gJ5TF9E6Nk3qVwWWa+7xluWko3QdXfUmWkChBiAN4nJ22tkPdu4df7dU43tB5cNyaaKuho6xbN
DRYrzi0NKxd+0juuVjfUZwsJrROqfleDSjT4eH+rcbaWiJxYkJHsoj9+KDD8HNDu+IwWR0i0KqkA
UkoNdz3MZakwv5mydCNpNodAanWUjGLYJGkwVxP1sRurY4eTHMtX4xFl7VFpo+/JfAW8mJbNkRbp
7mDGd36aoscZKtW1W9ONpHTpew+yTZLfSelU1iFJKm20KYTusGgjkB9hvvZKkJi2HX/xJQNbmz66
Ucjyz4pWurJSmqDUNF/rTn83EHNRl52KWYNB0KJsIEKPBtelNC75OPjPkXCs8G3N9WO7pJxtj/ks
tgDBsu6+kX6g4NxbWJrH2hIh833RsXSDSrlM/KyipqidamZIndqIwFrHxTV9NYZrACYmvBzYp6vs
dNArpD0mDrl28xilEC6VsLkrB5zq0la+BVi9GcbkRoXkO+9rtlRLRphNN5rdY87nNOgS86Q9Kepq
mclgZeQRKZpTyACozGjnCFFgZ6IaG7LdlFaIH5EBgEFdq2p2H6J2xHT5tuiK2K2J8qyYrQ8wMUJJ
h/7zPAl5k611JA/VNzMgpLPy4YuWEvN1EfCXJLpvccnzaLNGoLT17PghatpzXS83adgocz8dlsj1
OCm1coXj09UQKIvB4KLqlfk1dbNVoTv0pEhcvCMa1TWU1/B6Ri1YBHAv0MudVEO+bsNCOJB1iJki
BWaob6nxZZJN5v2IsNE+KyWj4w8MWGDz0TYh9uJ495876MsdlJbjN+6gLXMnzXZ7LqH83OslFMq2
aH0m7acqxksX858pQRkAN95EFpxttNY/FGfI+9F4QToQHyYhchJX1Nd7KH0b/AFdyuC3n8s0/yQl
aD47dfwlt7YNGWCgbNKpJjxKtGez0h/voQpIiFTK0/R8MoINqc2Z3sHRGGDlTlmULzuDQBziy6le
JAQymr6SW+UoLJrzoJXWWRLNUQjSCAwnW1M2fV1s41b/glWWC3vidJiUE9/RV1NgVpA38tENLP9L
PSaXdCzFCzNNgeCZpquDIpmBwS3cSeE2lI4Jfp0xNBk7begQ04Ljts1tTHbTCzuIqdyKbP4Ecg4K
5gMu8EvYrGhB8vOiMoiDnei+V3AOzTNKxwR/cG5p3o0R5Z7Thvtk5jmBBGIXBKkWUXcXK2tav06a
xlprXnpDdL0b9ekUWepD4tU3KE9yYR1/lJvtsWkAl84789zIrU3SQJVyAuNWw05zypuvfWAu8Z2G
DE7Gb9Y79oXuVMcQN3Bljs+iPloWkuKxCHsEQhYaCKWS7pwUyn8+FfA5o5OgAngzFeMxAp9mjSMb
nZAx3OrAxAtcipyvg5Ve0DVzotP7fFaUl3KuLVOOWWr+55bhLFttQPgFliaKaBOvlK2mBOxG0n2n
e3cUA5dmy/XG6XqSoUn6AH79lrQcacQJ8a4yRGcjrS1QJNtLefCIS2Mz/Vzqa3Os7YYUAzlAZFTd
mS8jlO9RaaUG4Kux7bCTxEUN9wxs/ehsbsrsc8vb8EipunHIIa33+ZERCmq6jU0kHYtlx/cQRRIR
h2wn83y0aakbtavQprG09570soDvYpo3em5eSQgFXYgWJ04KNb01rIAGcS7+aECuJCCLRtToJ0ZO
7D2U0Y3tZY82fZeZl16mCJ2irPrsO8hbyQYRGPKhVoWn9GhVPZv8yOC76DqWmg7oK7Q8N8nDeFmE
LQUeoVyPj2Qdh0wVaEXWYrSp0sENuK6Y6yYiW9kq7nP4N45Cc2JgMNplwoUA4Uw/ywalple/GtB/
W4j9Bo5IE0rq6TRWt+UUc5NoibhljsA8lBTadm2cHls0ekmVH8uQnVEAxcvWru9D0zoxdOMKfGjo
WqGTupIyTUdpRoSfQftZOiNnXq6pX4usvLY7vnijxy/FmM4gwj55nQQBvDNQ0dtXLQSzXkP/p3je
2oolECxM+hkkhiU0bHEbJPWj+nE9K3o4QlGJZF2axq2vTZBYUBFwZ+OnG6naNJ00l2NkjyP6fSVJ
w3MY/jiRqelijK8kOncDocn1p60Uj9umM2/8obuJEwUso31BUwayFZ/OBtBNtDWE0mfKgYSyibUI
sHwPnr3fwxJbQ4W0cWsgEqdsueV7HTd6bSzyguRsTIJtroLDVof6NJGl00EGlo2uPVtQU9jmEyTs
ogFQZ6YjX1eI5LG3aCKrCMLVsr9OBYW7rKFHeyTZRWqX9yNo3X3LDOTPv6mC5D0aiTcDYYQqMpGu
yMrsasH91s00JPKwbguQ4LVggwPo2hUFmWqg4Tj/mdAG4IhnPURxE2/lQDDGPWDjQ4bPbir446Cq
SIcIJnkLnFwXlHJuy8AOQsjlXUfAlgAz9+idX+XgzUszhKXF1kh8vSwRdrtUFU6nJjivgRdwSRK0
XHDpfZT2M1/PL0pA6pR+boqJvRLAuuJDWs8nmypIbm3xTKVbK9iofLh5L/jshtzeSrg8uTSBCawU
uaZK8Nzj2vvSAXivGvIIgvjuYzSEIXMrOkigcoGFLwQfvgIU32pSPrfJv7m9oMhDLHogaGeroBMB
zDwb3RG9sthF6/UN4vvPsdrcVSV9B0nc3umCVa+ovUIGQA2OJ0GyD5+Z9hAVZ7lP2ZfuCYBY0XWG
9eskSPherHzpY1q3HVj5xjM034FcpRXmzKnUz5152debybvvyQYG2iVZpRlpvM+EzbchAH5TkPhN
kPxqQfazEJR+OTJ3Chv9QgHgz0WVpS2Y/pKg+1uC858I4n+o63OoSCd1kVx1aOasAW8AyPeLaVSu
qdceB8I9AAH/ndWQ85DLZlM2Z/TSzRqjDWe+hSGLsB9IhBGBCszRNarwTsGjIBFmBaSOkDJJ1akj
jAy6sY2XmjA3mEiRzmpheGDgfNDjgGCQOXVrEzDbTMl9Eipjq4HMHfKdDVb1tM8ahBfE74Z1F+XQ
MKomtND0ltN4ppBtcIOa79ka4Vr4drMIISPk7F8br5mcc0WrgDBMaN68utHXHQ1YCZIre9vqI1Lc
YVDZj7Gk5/CIkBH4y9RQTtXCWLMbbUyPqYNFEo345MGkStc+h1bBDtGVJBRraUVYfabrtb/KAnmn
jfLOG/0HjhzIJ8GAhy2XYdviliXz0XmPlIjyeTwkj0MYk27zgyNVpteS1BDbg2/eB0Pa0aLYRIue
Wlep1FTP1GlpdlLooisHgjtPigfoEYruXdG1vZKkXqUFxTrXCrrowzZVXNrxbxl+TnEl2RVDtOnw
F1kWdA1VNTahdl3PDUr6y2yQY+qScjEPE3oLlLK/zxpIukNybejj3EyM29QpL8YyIhs0xetexz06
TGhUV1JyYsNSaYobK9cf2VwvGkpIbhIwBUKzvFKkaskGB9ZIp5jkKDVcDhVA1KSsMpPapROl5wjo
MEv2ArpZYH8uqqFhPvR+Qs/sBDrMrBfpQE9LYer1LMzV7VSTbUx6pChccGaKbZ4R5N5XVXEyWInF
/VlaKCFwr97+wtFCokq9qsrumJW7slRTnpV9IBTWAkORnPYKR22snIRec4zr5R3atPveiwWty7qr
1eE0H7ja9iHalEgSDiuG/zkdZSC8UrKewk2lV6ckmpZFr5LLCe3LwCg4oyXzFhjd6TRAQcvCh0Q3
NjhPIF/TxhN4O+2KMjAXx8E8TRWQombKRigFR7IRkvUz9FWcqye9PB23laa5vkGNzpzMu6hP0wvN
I3lP1k6aST3UCABs04xmuQLWh0p6Ps1GjBksTB+malUju55XcvRg9cQw9tBeWEWtHTkVIEMwpvVJ
WlbcuLT+OImwhcl9j8KuJx053KmJOb2GxWUk6PlvIJdu0DOlR4Bf1w7RFjXPQoOVNXUOks3/XMde
rmPcgv7+OvYFUMSeqxg/83oVA6vJdYeinuIoaNsMbml/XsUoFaqqTM8pyo1ndvCrTo6rGCo5wOiG
YmuKoGL+dRWjJ5acEqIOm0yeKoR3/0AnR9X915IgkneTex9aPQvq3q8YqqZCE5ao0XCOpE2aFXYz
t7zqplGB0UXqSOIdmB7IbSU5V5s0va5br1oBYG9XLQa3rkLbnI8qA2siXTtDhyKDCE7BnljRTpsQ
XjX4iB4HZffgtH1xk495vSCXPFw4HP9ummaW67RefqPX3Wkl01rYZLR+hgHYD79kF+wz/0rx8Vdp
DVVb+PhPz2tFuU0nwPJJApkocsAaGjhZj/aNX7bVctAjdW52RXiehEPqwnn+igSPTG9vf84mNbwt
uRKcBuqYLTlhWpeAh6ICQ3AeKnTiE8Q5K3gwqPJ6FSVTSizeFzSc431EciSbcGz30a7U6Cb0IqK7
pk1PWvpCYkf60htcZZucvnz4j4jji43c6ovY8uWF6nebuJKO0U9/ZjRPc8yZyCzm6ELQWs+yOPhq
dPp2MEn2531+55fxnaBvYOjto9Dww+tGR5yhJRJJ8Eyx4Br7q3jqypVkpjvNJzk1ZObGrNiqG5Lw
7HpRtGwkA8Cp18ONNCbsZ5IIUUpxnUvemY4EzyZG1QQyVS+0J2+sL+AudSfQemgXbOA3lr19BkEE
ObE3nRk5X2lTDPNy7Glu0B5Urbqb+vhR8gouEgHgwWQ4N7GvnyGFJifrIwfjhFsbKkitBB464Cnn
nCIDjgipTkOPeZIPqb3ILY3CrBJ8KfzpUtd1QFcWsJFhwiA1o8ma+UEZDwisfc4hHWkPsmoa49pq
aDiiA/JY8qgrcXuowEca1HIA++2kmrJRa1PPkcalOUE58JzIQMSfbLqIliCLxk1yjsoJ1FCaYAXs
xxOuAr7wFxgxGrCF40AtvAcqw+jczq6o0WBMUKqE/qPwKghhEy1gOSxl4WNgxhODLLwNpBGXA1/4
HfTC+UBmpmp+cZUIT4Qu1NeDcEnAKU++yYRzgoeFgiK8FEgikKcX/gqqR85WOC5oWC+MlEtD4cUQ
G8ZNhTmDKlwaLOwaLGwbuI0kHO6GSUq1lWcW5g6SjcsDMR+dUcL5oRAeENC8rjvhCuE1xgm2RoXr
CMcIGeuICj3oRsFMohSuEmVOLO43IL61+1rxzqXeXyIrHJZ6H0Klq/CmIHFwVI/U7antz+0yeQjw
sbDzgqXOMimEAEhN068FiiCsxIp1LGEelQi5UCCEQ56QEBHf+xvuIZiM2d5ZV5IyBia+UOF10rvR
Mc87ukg8aG+jQvViLAukSuMEOlvIl4hlOSvrXD8afQ9xk5A5FWV27Avh0ygkUGDRpk0ZKdKRLgRS
eVlcmhJy/AntlCT79xQLtQs1IuRg9wOKFlLNDtBcSVjM+0KEZaLGKq3I/1ajz3IClvGlhWZrelZv
IZhEyfWf8/Pl/HxT3/ilfdjuOT9/VjdyfCLhRvxiKppgNf55fipkJTGmARsDouS5WfJV3YjLoMZh
i3ZG5Z+gRv/x/OQghgzJXz0jq//R+QmO4rfz00I+aeq4+GAQhgrzZ0lN0tDWPuSDfN5E+T2dTtCI
Yw37S6kl8rSVAolen6/ajG7zIfbqZZ6HitvU+qbKDSh2GZVpZp9xUtEiBxcw7mZ1bx51PYZS9lCc
VpPkFp1MS4j9qHQxxfm0R08IQWAy+7Xj2UvuNPK8CHEIqWm2yBzR5dbrt31WrXQMP25K3wcuUBSP
Zm8f521xWyl6Qb0VRpzpl4/JCGkmr6nkQTFeDcUwUKvNg+xS1tDDRLp+IWnmsQdzb9H0MvZ5veTN
JaWihSjhguE1W6v1H73U7pecqfLCH4tyDXwOGkwuXTWJnVw4TaXQ6hlA09dA13qjZc09WA+YjFA1
ybyRLKpeLSpHe6pDk3C8PLMbqMxFEN+HqnbT5E4xlyJ1V8R0K+JKeFt1ZFpY9S0QvRnBwMornSf2
4WwWBTiXOVAiZZTRpsp1wj+OJudGgVkwMyYhF1LlGwwTsMziS2gCnF2AwGau2hjbsa0HmA71PZr2
mFuuADkYEPd0+YIGImUeeOFl6FDDlNLe7jfjKFcuvd3f5IqT3szOOE+PuzH311pUX7WmQycSRRI6
3ymYWWYyi+iM5HBMQOAgNy8lqYUhSWMx4hqMFeKVnVfpAjcc+9xRi/EoyWxAPGa0VrLSOfXraqeW
+ObANPYvJSF+mEIDO7EOUMKofkvQDtITYyKaDCLVOeNCB3c2q2II2IY/bwxSelmSFRsfZEdA9heE
ln3eI6FyQf6CnhsRr8Q6t3sl37SVeoaoOyPBPpFyC3Wydi3WaoohHUUDhUBqsl/NIvgcxxgtVi0d
lGpA9l4NGDefwU3I46PqQMIbjiT88gesJo9aFMcbVCmXil18I/2+aAPaO8vBdrPYrFwZGMnaTMp1
YaaboTEWuq+dj0p8rmvt4DoJZUI5j+7k3rs1Uqle0QuUu4Fk3VaNb/C21ROvUIk5bFLNdLqJJn/5
Kh2bjczhVcbRVRj6C7NNvvRy9YBaOHeVGMLFSM3YruJ2Xpk9gYycUYpncA1d2tBEqx+ZMlq31hlj
aqHWiVwqj7Y6afO6Ge8KTaWRRCmWRS0S9A0c6HHo1jFga8hv8lmf9A8BYw08ucCdxgzLWa4W91pW
nDpEwqadLyO6OGY28ItG7pdWJfQ2SV+6iEFz5K7t8YDKiq7fBDuq0XgSPkF9CQ82taOT0qMGGxYp
MlVVPYqC+qsdlccE1bdKPH1WpPqS90fwphszp3dAt2SgK9R27k9dj+9gfGqXA9KSSb6qHe3r2DgF
DrpB4oYwADckTqU1+RoqwAgduri81mkHCYr4yjYzwy1SFBszXfPqtWfxlKkKjFXKHbbyKH1EGlft
NMXET+bib9Oh45IPQVacW7Gb5kzi0U4Q1PgWrdiEtdC9k7kXJKi9/OESjDiuOob8COs2+v+GjfC9
1WG+bbaLDGnGeNnuqvFqV6PNqV+vcOJvL3IETTf5/9s/evtB371xbsZi99//tX1Kw2we1k0VPjY/
HsIo5Tkvf7r0Pr+n5zf81iOSLZ+rfeLZmvWJ+yv7hgLoTbxQooJk97//taQIH2DFUtG8KtjL8fox
XHprFN7+gC/D+fa/+ftPQI/Y7vmrWT/993+9ICeUX6ux/85I8JwfhsL4BG9K5xJv/u1QQGp0iG1e
UFs/TJS/mwpvf8B3HwT55Y09Dv/H3+V/fjn/Yjr8PAiYO6OG5pL+8m2L7/un+QAfDLMtAjLjZZSY
L0zAjzcUyq8Ikn88H2h0FJGsrquEij+Pgf5JIcSVbToXn18fcgz018V6yHSwPtGCw+ckSn9+McF+
Hgr1E/7h5MWYRR9yHsi/pgX/8TwQbVYse4fGrJcx4Gbz6xgQD9mIj/ibjzkIL2/skIlgfrIQoxgk
xl4G4dd9gXPCsgEU2MrLgH+8HUF0zv3js/LnzRETJdLACi6re6YAl0QLQ9cPOgW0wz+9BclR3J5p
Ff/bvUC1FR158AcdBIFxOnAK6J9kQ1U1W/8+CL9uBrgTqmTpdUs0Zr7EUx9ySxCOhgcPhYIZETka
ki3iRQT2074IRBjZGJYeL1Pv4+0IItt04BhYn6CKISsnufX8+nU6YBCNQo+cl/NRzwZRsjpwEIQe
0TGxl3uZ8r9NBAbBopVOZ/t4/l0fbyZgB3roIFggcE36CHFO3D8TgNPRp8K+gKSS10fdI4Wa9MD5
YAp4OJQ9GrqeX79uDJRaTaYDCd+Pelqqh+8M+L+z83FR+n6x3jMI1JIpGqsv8+WjbpLa4UsDhAE4
RkJkLC3F67dLhIKjpfgft2/x+qhLQzs8x2B+ou3TUOjyeRkKvvWfzkyWhi5Tald0QkyW4cfbKrXD
94fn4wC1sagR/fTpiRgUgJ+EFN+H56OOwcuXc8h9yuK6JPrEAYi+vH4ZCs5MXZVpCvgeuH+8iSDY
6wceFPhPYEVDcPT3l0q6tDQsu2lmEK8POh++X3gOmw/i0uCQVHr5pL8uDTYG5oqiI+L+qINw+EFh
imha0WXRuyJevw0CWDKYu9SZP+ruqL+E+YfNBPosyCSY369VDOtPmyQzAVUzd0yBcvuQR4R+ePRE
X5SmqqoCaG7/TCCE5BzF7vqjzgTB7Dh4e1Rtbthgn/YPAjk3FaCUbMr/YCb8GwfJn1UuDBOSp+f6
FqDbfWWwv/sHr3WP3//+h8LNc/nqp38p6l0vv/ylvCP++39+Kn+pzxHRD3/7GiE9/6bvP//9I/7+
y3/6Za+f6/UPV+Gu2laPVLOfS0vf3+jZNqVM9r8J//e0/bXs9JJi/+vd/FKr+3FDfPvpAFh2vz4c
NaoAoj+/mT2FwH/74en2Ka9eH/RXwUxE2Qc/fNY2zb43zps7+NnuNtliY7WtX5/1w3snED/8+TRo
1r99pYw6C/cdHp411fYPN99rfyuKEgf/ivku+eMsr/aOP5viwc9fJH/M84rJ8/qsH8afG9zBz19W
wLP3PZzN7OCHHyW7bI/TkagBHPzsVZs+5MlT8/qov8ZFFB0Pfvw6LXZVuE1eH/XD499jya7hdex5
9Hus2ONdtWfMRWX+4EE5DjN/z0agvMdaPdnGe/YwUcc6+G2fbOt6t29M3mOBnuT1H/+b+btkt29k
3mOJnm6f2IBfx+GHifgeS/R0C6Ztz7PfY4mKZ9OHt+etq++xRE932VP+GO7bvdT3WKOnu+px9/T7
2Ig09cFz8jTnvb8+56/vVH2PZXqa7x2T91ilPLrZVbtxzzt/j5V6ti32zZb3WKdnu277e+wI0fU9
luh5tWUL2DMo77FEL5Lt425P7CjS4wfPwwtaB/cFd9p7rNB/5YB6aFR9vX2suBJkzZ6zVGTMDx4d
Ydg42wnf0deH/bVURR76nX5BlW2rp70bmSgQv8svmYc7f9+HeI9VK0ZpyQp4DOvHfb/jPZbvv7bO
PHwyZX+ctGH9x/lDWBf7Psd7LGbxOU63zW7f899jPfP8ZvvHbFs9bPfFDCJd/B7zid/hJvt/w3sc
vS+fAiX89Pp2/1p3+rss7GC7906ov8uiJoexd/DfZTG/7Tdx8Cp4C6F++MOzfJ/nnFA/HD4rmy0d
g8m2rV8f9sOceZelK9Ise85hkWg9+N2/acd36Li/jWI++OktO8Ge4Eeo8A4fl7cJXoe+98+8wXbf
WhWJ44Pf/Bv97oe+8TdaAd9+9L607J8V7t+Tta/q+H0/9nMuWvyLx2S3rf7n/wIAAP//</cx:binary>
              </cx:geoCache>
            </cx:geography>
          </cx:layoutPr>
        </cx:series>
      </cx:plotAreaRegion>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19050</xdr:colOff>
      <xdr:row>0</xdr:row>
      <xdr:rowOff>0</xdr:rowOff>
    </xdr:from>
    <xdr:to>
      <xdr:col>26</xdr:col>
      <xdr:colOff>0</xdr:colOff>
      <xdr:row>43</xdr:row>
      <xdr:rowOff>0</xdr:rowOff>
    </xdr:to>
    <xdr:sp macro="" textlink="">
      <xdr:nvSpPr>
        <xdr:cNvPr id="6" name="Rectangle 5">
          <a:extLst>
            <a:ext uri="{FF2B5EF4-FFF2-40B4-BE49-F238E27FC236}">
              <a16:creationId xmlns:a16="http://schemas.microsoft.com/office/drawing/2014/main" id="{390AFC62-44A7-468D-A9ED-1C7A21471BC5}"/>
            </a:ext>
          </a:extLst>
        </xdr:cNvPr>
        <xdr:cNvSpPr/>
      </xdr:nvSpPr>
      <xdr:spPr>
        <a:xfrm>
          <a:off x="1943100" y="0"/>
          <a:ext cx="15754350" cy="7781925"/>
        </a:xfrm>
        <a:prstGeom prst="rect">
          <a:avLst/>
        </a:prstGeom>
        <a:solidFill>
          <a:schemeClr val="accent1">
            <a:lumMod val="40000"/>
            <a:lumOff val="6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100000">
                  <a:schemeClr val="bg1">
                    <a:lumMod val="85000"/>
                  </a:schemeClr>
                </a:gs>
                <a:gs pos="100000">
                  <a:schemeClr val="accent1">
                    <a:tint val="66000"/>
                    <a:satMod val="160000"/>
                  </a:schemeClr>
                </a:gs>
                <a:gs pos="100000">
                  <a:schemeClr val="bg1">
                    <a:lumMod val="75000"/>
                  </a:schemeClr>
                </a:gs>
                <a:gs pos="100000">
                  <a:schemeClr val="accent1">
                    <a:tint val="23500"/>
                    <a:satMod val="160000"/>
                  </a:schemeClr>
                </a:gs>
              </a:gsLst>
              <a:lin ang="5400000" scaled="0"/>
            </a:gradFill>
            <a:effectLst>
              <a:outerShdw blurRad="50800" dist="38100" dir="5400000" algn="l" rotWithShape="0">
                <a:prstClr val="black">
                  <a:alpha val="40000"/>
                </a:prstClr>
              </a:outerShdw>
            </a:effectLst>
          </a:endParaRPr>
        </a:p>
      </xdr:txBody>
    </xdr:sp>
    <xdr:clientData/>
  </xdr:twoCellAnchor>
  <xdr:twoCellAnchor>
    <xdr:from>
      <xdr:col>0</xdr:col>
      <xdr:colOff>0</xdr:colOff>
      <xdr:row>0</xdr:row>
      <xdr:rowOff>0</xdr:rowOff>
    </xdr:from>
    <xdr:to>
      <xdr:col>3</xdr:col>
      <xdr:colOff>9525</xdr:colOff>
      <xdr:row>43</xdr:row>
      <xdr:rowOff>0</xdr:rowOff>
    </xdr:to>
    <xdr:sp macro="" textlink="">
      <xdr:nvSpPr>
        <xdr:cNvPr id="4" name="Rectangle 3">
          <a:extLst>
            <a:ext uri="{FF2B5EF4-FFF2-40B4-BE49-F238E27FC236}">
              <a16:creationId xmlns:a16="http://schemas.microsoft.com/office/drawing/2014/main" id="{E034BBEE-F278-41E5-B318-9DFFF99E3FCA}"/>
            </a:ext>
          </a:extLst>
        </xdr:cNvPr>
        <xdr:cNvSpPr/>
      </xdr:nvSpPr>
      <xdr:spPr>
        <a:xfrm>
          <a:off x="0" y="0"/>
          <a:ext cx="1943100" cy="7781925"/>
        </a:xfrm>
        <a:prstGeom prst="rect">
          <a:avLst/>
        </a:prstGeom>
        <a:solidFill>
          <a:srgbClr val="006600"/>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4</xdr:row>
      <xdr:rowOff>138642</xdr:rowOff>
    </xdr:from>
    <xdr:to>
      <xdr:col>1</xdr:col>
      <xdr:colOff>1247775</xdr:colOff>
      <xdr:row>7</xdr:row>
      <xdr:rowOff>100542</xdr:rowOff>
    </xdr:to>
    <xdr:sp macro="" textlink="Pivots!H4">
      <xdr:nvSpPr>
        <xdr:cNvPr id="7" name="TextBox 6">
          <a:extLst>
            <a:ext uri="{FF2B5EF4-FFF2-40B4-BE49-F238E27FC236}">
              <a16:creationId xmlns:a16="http://schemas.microsoft.com/office/drawing/2014/main" id="{327A476A-F778-4A42-9299-6EBDB65124BA}"/>
            </a:ext>
          </a:extLst>
        </xdr:cNvPr>
        <xdr:cNvSpPr txBox="1"/>
      </xdr:nvSpPr>
      <xdr:spPr>
        <a:xfrm>
          <a:off x="228600" y="862542"/>
          <a:ext cx="12954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C7E9F5-B69E-4893-A648-AB0B19A0C03A}" type="TxLink">
            <a:rPr lang="en-US" sz="1800" b="1" i="0" u="none" strike="noStrike">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atin typeface="Aptos Narrow"/>
              <a:ea typeface="+mn-ea"/>
              <a:cs typeface="+mn-cs"/>
            </a:rPr>
            <a:pPr marL="0" indent="0"/>
            <a:t>2,400</a:t>
          </a:fld>
          <a:endParaRPr lang="en-US" sz="1800" b="1" i="0" u="none" strike="noStrike">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atin typeface="Aptos Narrow"/>
            <a:ea typeface="+mn-ea"/>
            <a:cs typeface="+mn-cs"/>
          </a:endParaRPr>
        </a:p>
      </xdr:txBody>
    </xdr:sp>
    <xdr:clientData/>
  </xdr:twoCellAnchor>
  <xdr:twoCellAnchor>
    <xdr:from>
      <xdr:col>0</xdr:col>
      <xdr:colOff>161925</xdr:colOff>
      <xdr:row>12</xdr:row>
      <xdr:rowOff>140760</xdr:rowOff>
    </xdr:from>
    <xdr:to>
      <xdr:col>1</xdr:col>
      <xdr:colOff>1181100</xdr:colOff>
      <xdr:row>15</xdr:row>
      <xdr:rowOff>102660</xdr:rowOff>
    </xdr:to>
    <xdr:sp macro="" textlink="Pivots!J4">
      <xdr:nvSpPr>
        <xdr:cNvPr id="10" name="TextBox 9">
          <a:extLst>
            <a:ext uri="{FF2B5EF4-FFF2-40B4-BE49-F238E27FC236}">
              <a16:creationId xmlns:a16="http://schemas.microsoft.com/office/drawing/2014/main" id="{9E786E76-FD32-4B3A-8EF3-7882CE31BB6F}"/>
            </a:ext>
          </a:extLst>
        </xdr:cNvPr>
        <xdr:cNvSpPr txBox="1"/>
      </xdr:nvSpPr>
      <xdr:spPr>
        <a:xfrm>
          <a:off x="161925" y="2312460"/>
          <a:ext cx="12954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E7BBA01-2362-4D72-AD82-3243A05248D4}" type="TxLink">
            <a:rPr lang="en-US" sz="1800" b="1" i="0" u="none" strike="noStrike">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atin typeface="Aptos Narrow"/>
              <a:ea typeface="+mn-ea"/>
              <a:cs typeface="+mn-cs"/>
            </a:rPr>
            <a:pPr marL="0" indent="0"/>
            <a:t>$649.0k</a:t>
          </a:fld>
          <a:endParaRPr lang="en-US" sz="1800" b="1" i="0" u="none" strike="noStrike">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atin typeface="Aptos Narrow"/>
            <a:ea typeface="+mn-ea"/>
            <a:cs typeface="+mn-cs"/>
          </a:endParaRPr>
        </a:p>
      </xdr:txBody>
    </xdr:sp>
    <xdr:clientData/>
  </xdr:twoCellAnchor>
  <xdr:twoCellAnchor>
    <xdr:from>
      <xdr:col>0</xdr:col>
      <xdr:colOff>190500</xdr:colOff>
      <xdr:row>16</xdr:row>
      <xdr:rowOff>122769</xdr:rowOff>
    </xdr:from>
    <xdr:to>
      <xdr:col>1</xdr:col>
      <xdr:colOff>1209675</xdr:colOff>
      <xdr:row>19</xdr:row>
      <xdr:rowOff>84669</xdr:rowOff>
    </xdr:to>
    <xdr:sp macro="" textlink="Pivots!K4">
      <xdr:nvSpPr>
        <xdr:cNvPr id="11" name="TextBox 10">
          <a:extLst>
            <a:ext uri="{FF2B5EF4-FFF2-40B4-BE49-F238E27FC236}">
              <a16:creationId xmlns:a16="http://schemas.microsoft.com/office/drawing/2014/main" id="{F3CAC646-C168-402C-85E8-EFD7EB539ED5}"/>
            </a:ext>
          </a:extLst>
        </xdr:cNvPr>
        <xdr:cNvSpPr txBox="1"/>
      </xdr:nvSpPr>
      <xdr:spPr>
        <a:xfrm>
          <a:off x="190500" y="3018369"/>
          <a:ext cx="12954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C8A54FA-2773-4C0A-8BFD-3FDE21275174}" type="TxLink">
            <a:rPr lang="en-US" sz="1800" b="1" i="0" u="none" strike="noStrike">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atin typeface="Aptos Narrow"/>
              <a:ea typeface="+mn-ea"/>
              <a:cs typeface="+mn-cs"/>
            </a:rPr>
            <a:pPr marL="0" indent="0"/>
            <a:t>4.0</a:t>
          </a:fld>
          <a:endParaRPr lang="en-US" sz="1800" b="1" i="0" u="none" strike="noStrike">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atin typeface="Aptos Narrow"/>
            <a:ea typeface="+mn-ea"/>
            <a:cs typeface="+mn-cs"/>
          </a:endParaRPr>
        </a:p>
      </xdr:txBody>
    </xdr:sp>
    <xdr:clientData/>
  </xdr:twoCellAnchor>
  <xdr:twoCellAnchor>
    <xdr:from>
      <xdr:col>0</xdr:col>
      <xdr:colOff>190500</xdr:colOff>
      <xdr:row>20</xdr:row>
      <xdr:rowOff>57150</xdr:rowOff>
    </xdr:from>
    <xdr:to>
      <xdr:col>1</xdr:col>
      <xdr:colOff>1209675</xdr:colOff>
      <xdr:row>23</xdr:row>
      <xdr:rowOff>19050</xdr:rowOff>
    </xdr:to>
    <xdr:sp macro="" textlink="Pivots!L4">
      <xdr:nvSpPr>
        <xdr:cNvPr id="12" name="TextBox 11">
          <a:extLst>
            <a:ext uri="{FF2B5EF4-FFF2-40B4-BE49-F238E27FC236}">
              <a16:creationId xmlns:a16="http://schemas.microsoft.com/office/drawing/2014/main" id="{CF3CCF62-952C-480B-B423-817E4AD3A0FB}"/>
            </a:ext>
          </a:extLst>
        </xdr:cNvPr>
        <xdr:cNvSpPr txBox="1"/>
      </xdr:nvSpPr>
      <xdr:spPr>
        <a:xfrm>
          <a:off x="190500" y="3676650"/>
          <a:ext cx="12954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2AA45C-5462-4F7F-90F8-A47D0B26A722}" type="TxLink">
            <a:rPr lang="en-US" sz="1800" b="1" i="0" u="none" strike="noStrike">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atin typeface="Aptos Narrow"/>
              <a:ea typeface="+mn-ea"/>
              <a:cs typeface="+mn-cs"/>
            </a:rPr>
            <a:pPr marL="0" indent="0"/>
            <a:t>2.3</a:t>
          </a:fld>
          <a:endParaRPr lang="en-US" sz="1800" b="1" i="0" u="none" strike="noStrike">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atin typeface="Aptos Narrow"/>
            <a:ea typeface="+mn-ea"/>
            <a:cs typeface="+mn-cs"/>
          </a:endParaRPr>
        </a:p>
      </xdr:txBody>
    </xdr:sp>
    <xdr:clientData/>
  </xdr:twoCellAnchor>
  <xdr:twoCellAnchor>
    <xdr:from>
      <xdr:col>0</xdr:col>
      <xdr:colOff>180975</xdr:colOff>
      <xdr:row>8</xdr:row>
      <xdr:rowOff>92076</xdr:rowOff>
    </xdr:from>
    <xdr:to>
      <xdr:col>1</xdr:col>
      <xdr:colOff>1200150</xdr:colOff>
      <xdr:row>11</xdr:row>
      <xdr:rowOff>53976</xdr:rowOff>
    </xdr:to>
    <xdr:sp macro="" textlink="Pivots!I4">
      <xdr:nvSpPr>
        <xdr:cNvPr id="13" name="TextBox 12">
          <a:extLst>
            <a:ext uri="{FF2B5EF4-FFF2-40B4-BE49-F238E27FC236}">
              <a16:creationId xmlns:a16="http://schemas.microsoft.com/office/drawing/2014/main" id="{A41AC65A-311B-4669-8A52-38DF30FD82D5}"/>
            </a:ext>
          </a:extLst>
        </xdr:cNvPr>
        <xdr:cNvSpPr txBox="1"/>
      </xdr:nvSpPr>
      <xdr:spPr>
        <a:xfrm>
          <a:off x="180975" y="1539876"/>
          <a:ext cx="12954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0AD0B0-161D-4F03-9F8F-43A367CB7760}" type="TxLink">
            <a:rPr lang="en-US" sz="1800" b="1" i="0" u="none" strike="noStrike">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atin typeface="Aptos Narrow"/>
              <a:ea typeface="+mn-ea"/>
              <a:cs typeface="+mn-cs"/>
            </a:rPr>
            <a:pPr marL="0" indent="0"/>
            <a:t>11,997</a:t>
          </a:fld>
          <a:endParaRPr lang="en-US" sz="1800" b="1" i="0" u="none" strike="noStrike">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atin typeface="Aptos Narrow"/>
            <a:ea typeface="+mn-ea"/>
            <a:cs typeface="+mn-cs"/>
          </a:endParaRPr>
        </a:p>
      </xdr:txBody>
    </xdr:sp>
    <xdr:clientData/>
  </xdr:twoCellAnchor>
  <xdr:twoCellAnchor>
    <xdr:from>
      <xdr:col>0</xdr:col>
      <xdr:colOff>200025</xdr:colOff>
      <xdr:row>3</xdr:row>
      <xdr:rowOff>95250</xdr:rowOff>
    </xdr:from>
    <xdr:to>
      <xdr:col>1</xdr:col>
      <xdr:colOff>1162050</xdr:colOff>
      <xdr:row>5</xdr:row>
      <xdr:rowOff>28575</xdr:rowOff>
    </xdr:to>
    <xdr:sp macro="" textlink="">
      <xdr:nvSpPr>
        <xdr:cNvPr id="14" name="TextBox 13">
          <a:extLst>
            <a:ext uri="{FF2B5EF4-FFF2-40B4-BE49-F238E27FC236}">
              <a16:creationId xmlns:a16="http://schemas.microsoft.com/office/drawing/2014/main" id="{494DA58E-9E6D-423F-BFE4-2498F35FA5C2}"/>
            </a:ext>
          </a:extLst>
        </xdr:cNvPr>
        <xdr:cNvSpPr txBox="1"/>
      </xdr:nvSpPr>
      <xdr:spPr>
        <a:xfrm>
          <a:off x="200025" y="638175"/>
          <a:ext cx="12382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dk1"/>
              </a:solidFill>
              <a:effectLst/>
              <a:latin typeface="+mn-lt"/>
              <a:ea typeface="+mn-ea"/>
              <a:cs typeface="+mn-cs"/>
            </a:rPr>
            <a:t>🛒</a:t>
          </a:r>
          <a:r>
            <a:rPr lang="en-US" sz="1200" b="1">
              <a:gradFill>
                <a:gsLst>
                  <a:gs pos="100000">
                    <a:schemeClr val="bg1">
                      <a:lumMod val="75000"/>
                    </a:schemeClr>
                  </a:gs>
                  <a:gs pos="100000">
                    <a:schemeClr val="accent1">
                      <a:tint val="66000"/>
                      <a:satMod val="160000"/>
                    </a:schemeClr>
                  </a:gs>
                  <a:gs pos="100000">
                    <a:schemeClr val="bg1">
                      <a:lumMod val="75000"/>
                    </a:schemeClr>
                  </a:gs>
                  <a:gs pos="100000">
                    <a:schemeClr val="accent1">
                      <a:tint val="23500"/>
                      <a:satMod val="160000"/>
                    </a:schemeClr>
                  </a:gs>
                </a:gsLst>
                <a:lin ang="5400000" scaled="0"/>
              </a:gradFill>
            </a:rPr>
            <a:t>Orders</a:t>
          </a:r>
        </a:p>
      </xdr:txBody>
    </xdr:sp>
    <xdr:clientData/>
  </xdr:twoCellAnchor>
  <xdr:twoCellAnchor>
    <xdr:from>
      <xdr:col>0</xdr:col>
      <xdr:colOff>161925</xdr:colOff>
      <xdr:row>7</xdr:row>
      <xdr:rowOff>67734</xdr:rowOff>
    </xdr:from>
    <xdr:to>
      <xdr:col>1</xdr:col>
      <xdr:colOff>1123950</xdr:colOff>
      <xdr:row>9</xdr:row>
      <xdr:rowOff>1059</xdr:rowOff>
    </xdr:to>
    <xdr:sp macro="" textlink="">
      <xdr:nvSpPr>
        <xdr:cNvPr id="15" name="TextBox 14">
          <a:extLst>
            <a:ext uri="{FF2B5EF4-FFF2-40B4-BE49-F238E27FC236}">
              <a16:creationId xmlns:a16="http://schemas.microsoft.com/office/drawing/2014/main" id="{3EF9F8AD-0189-414F-A473-51823345CFFC}"/>
            </a:ext>
          </a:extLst>
        </xdr:cNvPr>
        <xdr:cNvSpPr txBox="1"/>
      </xdr:nvSpPr>
      <xdr:spPr>
        <a:xfrm>
          <a:off x="161925" y="1334559"/>
          <a:ext cx="12382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gradFill>
                <a:gsLst>
                  <a:gs pos="100000">
                    <a:schemeClr val="bg1">
                      <a:lumMod val="75000"/>
                    </a:schemeClr>
                  </a:gs>
                  <a:gs pos="100000">
                    <a:schemeClr val="accent1">
                      <a:tint val="66000"/>
                      <a:satMod val="160000"/>
                    </a:schemeClr>
                  </a:gs>
                  <a:gs pos="100000">
                    <a:schemeClr val="bg1">
                      <a:lumMod val="75000"/>
                    </a:schemeClr>
                  </a:gs>
                  <a:gs pos="100000">
                    <a:schemeClr val="accent1">
                      <a:tint val="23500"/>
                      <a:satMod val="160000"/>
                    </a:schemeClr>
                  </a:gs>
                </a:gsLst>
                <a:lin ang="5400000" scaled="0"/>
              </a:gradFill>
            </a:rPr>
            <a:t>👕Quantity</a:t>
          </a:r>
        </a:p>
      </xdr:txBody>
    </xdr:sp>
    <xdr:clientData/>
  </xdr:twoCellAnchor>
  <xdr:twoCellAnchor>
    <xdr:from>
      <xdr:col>0</xdr:col>
      <xdr:colOff>133350</xdr:colOff>
      <xdr:row>11</xdr:row>
      <xdr:rowOff>59268</xdr:rowOff>
    </xdr:from>
    <xdr:to>
      <xdr:col>1</xdr:col>
      <xdr:colOff>1095375</xdr:colOff>
      <xdr:row>12</xdr:row>
      <xdr:rowOff>173568</xdr:rowOff>
    </xdr:to>
    <xdr:sp macro="" textlink="">
      <xdr:nvSpPr>
        <xdr:cNvPr id="16" name="TextBox 15">
          <a:extLst>
            <a:ext uri="{FF2B5EF4-FFF2-40B4-BE49-F238E27FC236}">
              <a16:creationId xmlns:a16="http://schemas.microsoft.com/office/drawing/2014/main" id="{347EF045-10F1-4FDF-9904-A236AE8CCB6A}"/>
            </a:ext>
          </a:extLst>
        </xdr:cNvPr>
        <xdr:cNvSpPr txBox="1"/>
      </xdr:nvSpPr>
      <xdr:spPr>
        <a:xfrm>
          <a:off x="133350" y="2049993"/>
          <a:ext cx="12382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gradFill>
                <a:gsLst>
                  <a:gs pos="100000">
                    <a:schemeClr val="bg1">
                      <a:lumMod val="75000"/>
                    </a:schemeClr>
                  </a:gs>
                  <a:gs pos="100000">
                    <a:schemeClr val="accent1">
                      <a:tint val="66000"/>
                      <a:satMod val="160000"/>
                    </a:schemeClr>
                  </a:gs>
                  <a:gs pos="100000">
                    <a:schemeClr val="bg1">
                      <a:lumMod val="75000"/>
                    </a:schemeClr>
                  </a:gs>
                  <a:gs pos="100000">
                    <a:schemeClr val="accent1">
                      <a:tint val="23500"/>
                      <a:satMod val="160000"/>
                    </a:schemeClr>
                  </a:gs>
                </a:gsLst>
                <a:lin ang="5400000" scaled="0"/>
              </a:gradFill>
            </a:rPr>
            <a:t>💰Amount</a:t>
          </a:r>
        </a:p>
      </xdr:txBody>
    </xdr:sp>
    <xdr:clientData/>
  </xdr:twoCellAnchor>
  <xdr:twoCellAnchor>
    <xdr:from>
      <xdr:col>0</xdr:col>
      <xdr:colOff>152400</xdr:colOff>
      <xdr:row>15</xdr:row>
      <xdr:rowOff>79377</xdr:rowOff>
    </xdr:from>
    <xdr:to>
      <xdr:col>1</xdr:col>
      <xdr:colOff>1114425</xdr:colOff>
      <xdr:row>17</xdr:row>
      <xdr:rowOff>12702</xdr:rowOff>
    </xdr:to>
    <xdr:sp macro="" textlink="">
      <xdr:nvSpPr>
        <xdr:cNvPr id="17" name="TextBox 16">
          <a:extLst>
            <a:ext uri="{FF2B5EF4-FFF2-40B4-BE49-F238E27FC236}">
              <a16:creationId xmlns:a16="http://schemas.microsoft.com/office/drawing/2014/main" id="{61795F65-83B4-4F96-84E2-54810CD29921}"/>
            </a:ext>
          </a:extLst>
        </xdr:cNvPr>
        <xdr:cNvSpPr txBox="1"/>
      </xdr:nvSpPr>
      <xdr:spPr>
        <a:xfrm>
          <a:off x="152400" y="2794002"/>
          <a:ext cx="12382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gradFill>
                <a:gsLst>
                  <a:gs pos="100000">
                    <a:schemeClr val="bg1">
                      <a:lumMod val="75000"/>
                    </a:schemeClr>
                  </a:gs>
                  <a:gs pos="100000">
                    <a:schemeClr val="accent1">
                      <a:tint val="66000"/>
                      <a:satMod val="160000"/>
                    </a:schemeClr>
                  </a:gs>
                  <a:gs pos="100000">
                    <a:schemeClr val="bg1">
                      <a:lumMod val="75000"/>
                    </a:schemeClr>
                  </a:gs>
                  <a:gs pos="100000">
                    <a:schemeClr val="accent1">
                      <a:tint val="23500"/>
                      <a:satMod val="160000"/>
                    </a:schemeClr>
                  </a:gs>
                </a:gsLst>
                <a:lin ang="5400000" scaled="0"/>
              </a:gradFill>
            </a:rPr>
            <a:t>⭐Avg</a:t>
          </a:r>
          <a:r>
            <a:rPr lang="en-US" sz="1200" b="1" baseline="0">
              <a:gradFill>
                <a:gsLst>
                  <a:gs pos="100000">
                    <a:schemeClr val="bg1">
                      <a:lumMod val="75000"/>
                    </a:schemeClr>
                  </a:gs>
                  <a:gs pos="100000">
                    <a:schemeClr val="accent1">
                      <a:tint val="66000"/>
                      <a:satMod val="160000"/>
                    </a:schemeClr>
                  </a:gs>
                  <a:gs pos="100000">
                    <a:schemeClr val="bg1">
                      <a:lumMod val="75000"/>
                    </a:schemeClr>
                  </a:gs>
                  <a:gs pos="100000">
                    <a:schemeClr val="accent1">
                      <a:tint val="23500"/>
                      <a:satMod val="160000"/>
                    </a:schemeClr>
                  </a:gs>
                </a:gsLst>
                <a:lin ang="5400000" scaled="0"/>
              </a:gradFill>
            </a:rPr>
            <a:t> Rating</a:t>
          </a:r>
          <a:endParaRPr lang="en-US" sz="1200" b="1">
            <a:gradFill>
              <a:gsLst>
                <a:gs pos="100000">
                  <a:schemeClr val="bg1">
                    <a:lumMod val="75000"/>
                  </a:schemeClr>
                </a:gs>
                <a:gs pos="100000">
                  <a:schemeClr val="accent1">
                    <a:tint val="66000"/>
                    <a:satMod val="160000"/>
                  </a:schemeClr>
                </a:gs>
                <a:gs pos="100000">
                  <a:schemeClr val="bg1">
                    <a:lumMod val="75000"/>
                  </a:schemeClr>
                </a:gs>
                <a:gs pos="100000">
                  <a:schemeClr val="accent1">
                    <a:tint val="23500"/>
                    <a:satMod val="160000"/>
                  </a:schemeClr>
                </a:gs>
              </a:gsLst>
              <a:lin ang="5400000" scaled="0"/>
            </a:gradFill>
          </a:endParaRPr>
        </a:p>
      </xdr:txBody>
    </xdr:sp>
    <xdr:clientData/>
  </xdr:twoCellAnchor>
  <xdr:twoCellAnchor>
    <xdr:from>
      <xdr:col>0</xdr:col>
      <xdr:colOff>171450</xdr:colOff>
      <xdr:row>19</xdr:row>
      <xdr:rowOff>23286</xdr:rowOff>
    </xdr:from>
    <xdr:to>
      <xdr:col>2</xdr:col>
      <xdr:colOff>28575</xdr:colOff>
      <xdr:row>20</xdr:row>
      <xdr:rowOff>137586</xdr:rowOff>
    </xdr:to>
    <xdr:sp macro="" textlink="">
      <xdr:nvSpPr>
        <xdr:cNvPr id="18" name="TextBox 17">
          <a:extLst>
            <a:ext uri="{FF2B5EF4-FFF2-40B4-BE49-F238E27FC236}">
              <a16:creationId xmlns:a16="http://schemas.microsoft.com/office/drawing/2014/main" id="{B80ADB58-3476-44D5-9CA2-6262C167D528}"/>
            </a:ext>
          </a:extLst>
        </xdr:cNvPr>
        <xdr:cNvSpPr txBox="1"/>
      </xdr:nvSpPr>
      <xdr:spPr>
        <a:xfrm>
          <a:off x="171450" y="3461811"/>
          <a:ext cx="1485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gradFill>
                <a:gsLst>
                  <a:gs pos="100000">
                    <a:schemeClr val="bg1">
                      <a:lumMod val="75000"/>
                    </a:schemeClr>
                  </a:gs>
                  <a:gs pos="100000">
                    <a:schemeClr val="accent1">
                      <a:tint val="66000"/>
                      <a:satMod val="160000"/>
                    </a:schemeClr>
                  </a:gs>
                  <a:gs pos="100000">
                    <a:schemeClr val="bg1">
                      <a:lumMod val="75000"/>
                    </a:schemeClr>
                  </a:gs>
                  <a:gs pos="100000">
                    <a:schemeClr val="accent1">
                      <a:tint val="23500"/>
                      <a:satMod val="160000"/>
                    </a:schemeClr>
                  </a:gs>
                </a:gsLst>
                <a:lin ang="5400000" scaled="0"/>
              </a:gradFill>
            </a:rPr>
            <a:t>📅 Days to Deliver</a:t>
          </a:r>
        </a:p>
      </xdr:txBody>
    </xdr:sp>
    <xdr:clientData/>
  </xdr:twoCellAnchor>
  <xdr:twoCellAnchor>
    <xdr:from>
      <xdr:col>3</xdr:col>
      <xdr:colOff>276224</xdr:colOff>
      <xdr:row>2</xdr:row>
      <xdr:rowOff>38100</xdr:rowOff>
    </xdr:from>
    <xdr:to>
      <xdr:col>10</xdr:col>
      <xdr:colOff>361949</xdr:colOff>
      <xdr:row>17</xdr:row>
      <xdr:rowOff>85726</xdr:rowOff>
    </xdr:to>
    <xdr:graphicFrame macro="">
      <xdr:nvGraphicFramePr>
        <xdr:cNvPr id="20" name="Chart 19">
          <a:extLst>
            <a:ext uri="{FF2B5EF4-FFF2-40B4-BE49-F238E27FC236}">
              <a16:creationId xmlns:a16="http://schemas.microsoft.com/office/drawing/2014/main" id="{2D267DA3-4F29-4DCA-85BD-C63417062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9524</xdr:colOff>
      <xdr:row>2</xdr:row>
      <xdr:rowOff>57149</xdr:rowOff>
    </xdr:from>
    <xdr:to>
      <xdr:col>17</xdr:col>
      <xdr:colOff>95249</xdr:colOff>
      <xdr:row>17</xdr:row>
      <xdr:rowOff>152399</xdr:rowOff>
    </xdr:to>
    <xdr:sp macro="" textlink="">
      <xdr:nvSpPr>
        <xdr:cNvPr id="24" name="Rectangle 23">
          <a:extLst>
            <a:ext uri="{FF2B5EF4-FFF2-40B4-BE49-F238E27FC236}">
              <a16:creationId xmlns:a16="http://schemas.microsoft.com/office/drawing/2014/main" id="{2E5E2E89-4720-40EF-B9DF-9E077360F1C3}"/>
            </a:ext>
          </a:extLst>
        </xdr:cNvPr>
        <xdr:cNvSpPr/>
      </xdr:nvSpPr>
      <xdr:spPr>
        <a:xfrm>
          <a:off x="7429499" y="419099"/>
          <a:ext cx="4200525" cy="28098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381000</xdr:colOff>
      <xdr:row>5</xdr:row>
      <xdr:rowOff>8154</xdr:rowOff>
    </xdr:from>
    <xdr:to>
      <xdr:col>16</xdr:col>
      <xdr:colOff>466725</xdr:colOff>
      <xdr:row>16</xdr:row>
      <xdr:rowOff>57150</xdr:rowOff>
    </xdr:to>
    <xdr:pic>
      <xdr:nvPicPr>
        <xdr:cNvPr id="26" name="Picture 25">
          <a:extLst>
            <a:ext uri="{FF2B5EF4-FFF2-40B4-BE49-F238E27FC236}">
              <a16:creationId xmlns:a16="http://schemas.microsoft.com/office/drawing/2014/main" id="{1F5C8C28-8479-4A06-9B0C-3BD5E28D33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0975" y="913029"/>
          <a:ext cx="3514725" cy="2039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400050</xdr:colOff>
      <xdr:row>2</xdr:row>
      <xdr:rowOff>76200</xdr:rowOff>
    </xdr:from>
    <xdr:to>
      <xdr:col>24</xdr:col>
      <xdr:colOff>542925</xdr:colOff>
      <xdr:row>17</xdr:row>
      <xdr:rowOff>152400</xdr:rowOff>
    </xdr:to>
    <xdr:graphicFrame macro="">
      <xdr:nvGraphicFramePr>
        <xdr:cNvPr id="27" name="Chart 26">
          <a:extLst>
            <a:ext uri="{FF2B5EF4-FFF2-40B4-BE49-F238E27FC236}">
              <a16:creationId xmlns:a16="http://schemas.microsoft.com/office/drawing/2014/main" id="{281107EB-9E6F-4C6E-AF8E-3DFE23B90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314324</xdr:colOff>
      <xdr:row>19</xdr:row>
      <xdr:rowOff>76200</xdr:rowOff>
    </xdr:from>
    <xdr:to>
      <xdr:col>10</xdr:col>
      <xdr:colOff>380999</xdr:colOff>
      <xdr:row>40</xdr:row>
      <xdr:rowOff>0</xdr:rowOff>
    </xdr:to>
    <xdr:graphicFrame macro="">
      <xdr:nvGraphicFramePr>
        <xdr:cNvPr id="28" name="Chart 27">
          <a:extLst>
            <a:ext uri="{FF2B5EF4-FFF2-40B4-BE49-F238E27FC236}">
              <a16:creationId xmlns:a16="http://schemas.microsoft.com/office/drawing/2014/main" id="{31656D44-6571-473C-9ECF-E52D00621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400049</xdr:colOff>
      <xdr:row>30</xdr:row>
      <xdr:rowOff>133350</xdr:rowOff>
    </xdr:from>
    <xdr:to>
      <xdr:col>8</xdr:col>
      <xdr:colOff>409575</xdr:colOff>
      <xdr:row>39</xdr:row>
      <xdr:rowOff>152400</xdr:rowOff>
    </xdr:to>
    <xdr:graphicFrame macro="">
      <xdr:nvGraphicFramePr>
        <xdr:cNvPr id="29" name="Chart 28">
          <a:extLst>
            <a:ext uri="{FF2B5EF4-FFF2-40B4-BE49-F238E27FC236}">
              <a16:creationId xmlns:a16="http://schemas.microsoft.com/office/drawing/2014/main" id="{135AFA81-8E2B-406F-9CFE-1A829CD47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600075</xdr:colOff>
      <xdr:row>19</xdr:row>
      <xdr:rowOff>76199</xdr:rowOff>
    </xdr:from>
    <xdr:to>
      <xdr:col>17</xdr:col>
      <xdr:colOff>85724</xdr:colOff>
      <xdr:row>39</xdr:row>
      <xdr:rowOff>180974</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616C8F67-FCBA-42B0-8972-2768C5DC61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334250" y="3514724"/>
              <a:ext cx="4286249" cy="37242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114301</xdr:colOff>
      <xdr:row>24</xdr:row>
      <xdr:rowOff>76199</xdr:rowOff>
    </xdr:from>
    <xdr:to>
      <xdr:col>16</xdr:col>
      <xdr:colOff>266700</xdr:colOff>
      <xdr:row>30</xdr:row>
      <xdr:rowOff>142874</xdr:rowOff>
    </xdr:to>
    <mc:AlternateContent xmlns:mc="http://schemas.openxmlformats.org/markup-compatibility/2006">
      <mc:Choice xmlns:cx4="http://schemas.microsoft.com/office/drawing/2016/5/10/chartex" Requires="cx4">
        <xdr:graphicFrame macro="">
          <xdr:nvGraphicFramePr>
            <xdr:cNvPr id="37" name="Chart 36">
              <a:extLst>
                <a:ext uri="{FF2B5EF4-FFF2-40B4-BE49-F238E27FC236}">
                  <a16:creationId xmlns:a16="http://schemas.microsoft.com/office/drawing/2014/main" id="{F5FD6301-8A5B-4D04-A323-AC3722B584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277476" y="4419599"/>
              <a:ext cx="838199" cy="11525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428625</xdr:colOff>
      <xdr:row>19</xdr:row>
      <xdr:rowOff>47624</xdr:rowOff>
    </xdr:from>
    <xdr:to>
      <xdr:col>24</xdr:col>
      <xdr:colOff>609600</xdr:colOff>
      <xdr:row>29</xdr:row>
      <xdr:rowOff>57149</xdr:rowOff>
    </xdr:to>
    <xdr:graphicFrame macro="">
      <xdr:nvGraphicFramePr>
        <xdr:cNvPr id="38" name="Chart 37">
          <a:extLst>
            <a:ext uri="{FF2B5EF4-FFF2-40B4-BE49-F238E27FC236}">
              <a16:creationId xmlns:a16="http://schemas.microsoft.com/office/drawing/2014/main" id="{D649FC27-19D6-4936-941A-AB52C5CA6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428625</xdr:colOff>
      <xdr:row>29</xdr:row>
      <xdr:rowOff>85725</xdr:rowOff>
    </xdr:from>
    <xdr:to>
      <xdr:col>24</xdr:col>
      <xdr:colOff>638175</xdr:colOff>
      <xdr:row>39</xdr:row>
      <xdr:rowOff>152399</xdr:rowOff>
    </xdr:to>
    <xdr:graphicFrame macro="">
      <xdr:nvGraphicFramePr>
        <xdr:cNvPr id="39" name="Chart 38">
          <a:extLst>
            <a:ext uri="{FF2B5EF4-FFF2-40B4-BE49-F238E27FC236}">
              <a16:creationId xmlns:a16="http://schemas.microsoft.com/office/drawing/2014/main" id="{62A28C94-097F-49E2-9CBF-75B53CB02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200527</xdr:colOff>
      <xdr:row>22</xdr:row>
      <xdr:rowOff>113298</xdr:rowOff>
    </xdr:from>
    <xdr:to>
      <xdr:col>2</xdr:col>
      <xdr:colOff>110290</xdr:colOff>
      <xdr:row>32</xdr:row>
      <xdr:rowOff>90236</xdr:rowOff>
    </xdr:to>
    <mc:AlternateContent xmlns:mc="http://schemas.openxmlformats.org/markup-compatibility/2006">
      <mc:Choice xmlns:a14="http://schemas.microsoft.com/office/drawing/2010/main" Requires="a14">
        <xdr:graphicFrame macro="">
          <xdr:nvGraphicFramePr>
            <xdr:cNvPr id="40" name="Order Mode">
              <a:extLst>
                <a:ext uri="{FF2B5EF4-FFF2-40B4-BE49-F238E27FC236}">
                  <a16:creationId xmlns:a16="http://schemas.microsoft.com/office/drawing/2014/main" id="{2A183607-1883-4676-A540-70CB74A6D16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200527" y="4083719"/>
              <a:ext cx="1544052" cy="178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230605</xdr:colOff>
      <xdr:row>33</xdr:row>
      <xdr:rowOff>28074</xdr:rowOff>
    </xdr:from>
    <xdr:to>
      <xdr:col>2</xdr:col>
      <xdr:colOff>130344</xdr:colOff>
      <xdr:row>41</xdr:row>
      <xdr:rowOff>50132</xdr:rowOff>
    </xdr:to>
    <mc:AlternateContent xmlns:mc="http://schemas.openxmlformats.org/markup-compatibility/2006">
      <mc:Choice xmlns:a14="http://schemas.microsoft.com/office/drawing/2010/main" Requires="a14">
        <xdr:graphicFrame macro="">
          <xdr:nvGraphicFramePr>
            <xdr:cNvPr id="42" name="Gender Value">
              <a:extLst>
                <a:ext uri="{FF2B5EF4-FFF2-40B4-BE49-F238E27FC236}">
                  <a16:creationId xmlns:a16="http://schemas.microsoft.com/office/drawing/2014/main" id="{21204209-CEFF-4BF9-A922-F3B2D62289D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230605" y="5983706"/>
              <a:ext cx="1534028" cy="14658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342900</xdr:colOff>
      <xdr:row>2</xdr:row>
      <xdr:rowOff>171450</xdr:rowOff>
    </xdr:from>
    <xdr:to>
      <xdr:col>15</xdr:col>
      <xdr:colOff>314325</xdr:colOff>
      <xdr:row>4</xdr:row>
      <xdr:rowOff>66675</xdr:rowOff>
    </xdr:to>
    <xdr:sp macro="" textlink="">
      <xdr:nvSpPr>
        <xdr:cNvPr id="44" name="TextBox 43">
          <a:extLst>
            <a:ext uri="{FF2B5EF4-FFF2-40B4-BE49-F238E27FC236}">
              <a16:creationId xmlns:a16="http://schemas.microsoft.com/office/drawing/2014/main" id="{033C5F56-21F5-4BC5-9CA1-7D14A6BF4CE8}"/>
            </a:ext>
          </a:extLst>
        </xdr:cNvPr>
        <xdr:cNvSpPr txBox="1"/>
      </xdr:nvSpPr>
      <xdr:spPr>
        <a:xfrm>
          <a:off x="8448675" y="533400"/>
          <a:ext cx="2028825"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How they like to buy?</a:t>
          </a:r>
          <a:endParaRPr lang="en-US">
            <a:effectLst/>
          </a:endParaRPr>
        </a:p>
      </xdr:txBody>
    </xdr:sp>
    <xdr:clientData/>
  </xdr:twoCellAnchor>
  <xdr:twoCellAnchor editAs="oneCell">
    <xdr:from>
      <xdr:col>0</xdr:col>
      <xdr:colOff>142875</xdr:colOff>
      <xdr:row>0</xdr:row>
      <xdr:rowOff>104775</xdr:rowOff>
    </xdr:from>
    <xdr:to>
      <xdr:col>2</xdr:col>
      <xdr:colOff>209830</xdr:colOff>
      <xdr:row>3</xdr:row>
      <xdr:rowOff>122</xdr:rowOff>
    </xdr:to>
    <xdr:pic>
      <xdr:nvPicPr>
        <xdr:cNvPr id="45" name="Picture 44">
          <a:extLst>
            <a:ext uri="{FF2B5EF4-FFF2-40B4-BE49-F238E27FC236}">
              <a16:creationId xmlns:a16="http://schemas.microsoft.com/office/drawing/2014/main" id="{60DA1E4E-4CCB-4230-A2A9-561C957F6EB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42875" y="104775"/>
          <a:ext cx="1695730" cy="43827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 refreshedDate="46179.980605671299" createdVersion="7" refreshedVersion="7" minRefreshableVersion="3" recordCount="2400" xr:uid="{C21EC4CF-4426-4424-9CE8-AC635ECC3710}">
  <cacheSource type="worksheet">
    <worksheetSource name="orders"/>
  </cacheSource>
  <cacheFields count="17">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585103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B4686E-44F2-499F-B1E4-76A136068C0D}" name="PivotProduc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A43:F65"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n="6-10" x="5"/>
        <item n="More than 10" x="6"/>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
    </i>
    <i>
      <x v="14"/>
    </i>
    <i>
      <x v="12"/>
    </i>
    <i>
      <x v="16"/>
    </i>
    <i>
      <x v="4"/>
    </i>
    <i>
      <x v="13"/>
    </i>
    <i>
      <x v="11"/>
    </i>
    <i>
      <x v="8"/>
    </i>
    <i>
      <x v="9"/>
    </i>
    <i>
      <x v="3"/>
    </i>
    <i>
      <x v="5"/>
    </i>
    <i>
      <x v="2"/>
    </i>
    <i>
      <x/>
    </i>
    <i>
      <x v="19"/>
    </i>
    <i>
      <x v="15"/>
    </i>
    <i>
      <x v="10"/>
    </i>
    <i>
      <x v="7"/>
    </i>
    <i>
      <x v="17"/>
    </i>
    <i t="grand">
      <x/>
    </i>
  </rowItems>
  <colFields count="1">
    <field x="14"/>
  </colFields>
  <colItems count="5">
    <i>
      <x/>
    </i>
    <i>
      <x v="1"/>
    </i>
    <i>
      <x v="2"/>
    </i>
    <i>
      <x v="3"/>
    </i>
    <i t="grand">
      <x/>
    </i>
  </colItems>
  <dataFields count="1">
    <dataField name="Sum of Quantity" fld="2" baseField="0" baseItem="0"/>
  </dataFields>
  <chartFormats count="4">
    <chartFormat chart="27" format="8" series="1">
      <pivotArea type="data" outline="0" fieldPosition="0">
        <references count="2">
          <reference field="4294967294" count="1" selected="0">
            <x v="0"/>
          </reference>
          <reference field="14" count="1" selected="0">
            <x v="0"/>
          </reference>
        </references>
      </pivotArea>
    </chartFormat>
    <chartFormat chart="27" format="9" series="1">
      <pivotArea type="data" outline="0" fieldPosition="0">
        <references count="2">
          <reference field="4294967294" count="1" selected="0">
            <x v="0"/>
          </reference>
          <reference field="14" count="1" selected="0">
            <x v="1"/>
          </reference>
        </references>
      </pivotArea>
    </chartFormat>
    <chartFormat chart="27" format="10" series="1">
      <pivotArea type="data" outline="0" fieldPosition="0">
        <references count="2">
          <reference field="4294967294" count="1" selected="0">
            <x v="0"/>
          </reference>
          <reference field="14" count="1" selected="0">
            <x v="2"/>
          </reference>
        </references>
      </pivotArea>
    </chartFormat>
    <chartFormat chart="27"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6709DD-907B-44E6-B2B3-81C2DE9D7EF2}" name="PivotQuantit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30:B38"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h="1" x="2"/>
        <item x="1"/>
        <item h="1" x="3"/>
        <item h="1" x="0"/>
        <item t="default"/>
      </items>
    </pivotField>
    <pivotField axis="axisRow" showAll="0">
      <items count="8">
        <item x="0"/>
        <item x="1"/>
        <item x="2"/>
        <item x="4"/>
        <item x="3"/>
        <item n="6-10" x="5"/>
        <item n="More than 10" x="6"/>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E494DA-E097-4CFA-B7A7-0CAD38610523}" name="PivotTrend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9:C23" firstHeaderRow="0"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h="1" x="2"/>
        <item x="1"/>
        <item h="1" x="3"/>
        <item h="1"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3">
    <format dxfId="40">
      <pivotArea collapsedLevelsAreSubtotals="1" fieldPosition="0">
        <references count="2">
          <reference field="4294967294" count="1" selected="0">
            <x v="1"/>
          </reference>
          <reference field="13" count="0"/>
        </references>
      </pivotArea>
    </format>
    <format dxfId="39">
      <pivotArea outline="0" collapsedLevelsAreSubtotals="1" fieldPosition="0">
        <references count="1">
          <reference field="4294967294" count="1" selected="0">
            <x v="1"/>
          </reference>
        </references>
      </pivotArea>
    </format>
    <format dxfId="38">
      <pivotArea dataOnly="0" labelOnly="1" outline="0" fieldPosition="0">
        <references count="1">
          <reference field="4294967294" count="1">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4EDADF-627B-4A28-9A74-CDF7A6524F0C}" name="PivotSumma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17">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9F73BF-0F1B-4211-B48F-58198D08D07E}" name="PivotMap"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8">
  <location ref="A69:D94" firstHeaderRow="0" firstDataRow="1" firstDataCol="2"/>
  <pivotFields count="17">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h="1" x="0"/>
        <item x="3"/>
        <item h="1" x="4"/>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h="1" x="2"/>
        <item x="1"/>
        <item h="1" x="3"/>
        <item h="1"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10" x="5"/>
        <item n="More than 10" x="6"/>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25">
    <i>
      <x/>
      <x/>
    </i>
    <i r="1">
      <x v="6"/>
    </i>
    <i r="1">
      <x v="8"/>
    </i>
    <i r="1">
      <x v="9"/>
    </i>
    <i r="1">
      <x v="10"/>
    </i>
    <i r="1">
      <x v="11"/>
    </i>
    <i r="1">
      <x v="14"/>
    </i>
    <i r="1">
      <x v="18"/>
    </i>
    <i r="1">
      <x v="20"/>
    </i>
    <i r="1">
      <x v="23"/>
    </i>
    <i r="1">
      <x v="26"/>
    </i>
    <i r="1">
      <x v="30"/>
    </i>
    <i r="1">
      <x v="33"/>
    </i>
    <i r="1">
      <x v="34"/>
    </i>
    <i r="1">
      <x v="35"/>
    </i>
    <i r="1">
      <x v="36"/>
    </i>
    <i r="1">
      <x v="37"/>
    </i>
    <i r="1">
      <x v="40"/>
    </i>
    <i r="1">
      <x v="41"/>
    </i>
    <i r="1">
      <x v="42"/>
    </i>
    <i r="1">
      <x v="43"/>
    </i>
    <i r="1">
      <x v="48"/>
    </i>
    <i r="1">
      <x v="49"/>
    </i>
    <i r="1">
      <x v="50"/>
    </i>
    <i r="1">
      <x v="55"/>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C7442B-6513-4B19-9789-57DD66609B91}" name="Pivot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3">
  <location ref="I43:J48"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n="6-10" x="5"/>
        <item n="More than 10" x="6"/>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25" format="0" series="1">
      <pivotArea type="data" outline="0" fieldPosition="0">
        <references count="2">
          <reference field="4294967294" count="1" selected="0">
            <x v="0"/>
          </reference>
          <reference field="14" count="1" selected="0">
            <x v="0"/>
          </reference>
        </references>
      </pivotArea>
    </chartFormat>
    <chartFormat chart="25" format="1" series="1">
      <pivotArea type="data" outline="0" fieldPosition="0">
        <references count="2">
          <reference field="4294967294" count="1" selected="0">
            <x v="0"/>
          </reference>
          <reference field="14" count="1" selected="0">
            <x v="1"/>
          </reference>
        </references>
      </pivotArea>
    </chartFormat>
    <chartFormat chart="25" format="2" series="1">
      <pivotArea type="data" outline="0" fieldPosition="0">
        <references count="2">
          <reference field="4294967294" count="1" selected="0">
            <x v="0"/>
          </reference>
          <reference field="14" count="1" selected="0">
            <x v="2"/>
          </reference>
        </references>
      </pivotArea>
    </chartFormat>
    <chartFormat chart="25" format="3" series="1">
      <pivotArea type="data" outline="0" fieldPosition="0">
        <references count="2">
          <reference field="4294967294" count="1" selected="0">
            <x v="0"/>
          </reference>
          <reference field="14" count="1" selected="0">
            <x v="3"/>
          </reference>
        </references>
      </pivotArea>
    </chartFormat>
    <chartFormat chart="27" format="8" series="1">
      <pivotArea type="data" outline="0" fieldPosition="0">
        <references count="2">
          <reference field="4294967294" count="1" selected="0">
            <x v="0"/>
          </reference>
          <reference field="14" count="1" selected="0">
            <x v="0"/>
          </reference>
        </references>
      </pivotArea>
    </chartFormat>
    <chartFormat chart="27" format="9" series="1">
      <pivotArea type="data" outline="0" fieldPosition="0">
        <references count="2">
          <reference field="4294967294" count="1" selected="0">
            <x v="0"/>
          </reference>
          <reference field="14" count="1" selected="0">
            <x v="1"/>
          </reference>
        </references>
      </pivotArea>
    </chartFormat>
    <chartFormat chart="27" format="10" series="1">
      <pivotArea type="data" outline="0" fieldPosition="0">
        <references count="2">
          <reference field="4294967294" count="1" selected="0">
            <x v="0"/>
          </reference>
          <reference field="14" count="1" selected="0">
            <x v="2"/>
          </reference>
        </references>
      </pivotArea>
    </chartFormat>
    <chartFormat chart="27" format="11" series="1">
      <pivotArea type="data" outline="0" fieldPosition="0">
        <references count="2">
          <reference field="4294967294" count="1" selected="0">
            <x v="0"/>
          </reference>
          <reference field="14" count="1" selected="0">
            <x v="3"/>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14" count="1" selected="0">
            <x v="0"/>
          </reference>
        </references>
      </pivotArea>
    </chartFormat>
    <chartFormat chart="32" format="8">
      <pivotArea type="data" outline="0" fieldPosition="0">
        <references count="2">
          <reference field="4294967294" count="1" selected="0">
            <x v="0"/>
          </reference>
          <reference field="14" count="1" selected="0">
            <x v="1"/>
          </reference>
        </references>
      </pivotArea>
    </chartFormat>
    <chartFormat chart="32" format="9">
      <pivotArea type="data" outline="0" fieldPosition="0">
        <references count="2">
          <reference field="4294967294" count="1" selected="0">
            <x v="0"/>
          </reference>
          <reference field="14" count="1" selected="0">
            <x v="2"/>
          </reference>
        </references>
      </pivotArea>
    </chartFormat>
    <chartFormat chart="32"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133724-82E0-477F-B26F-5A4EAA58FFE2}" name="PivotApp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C8BBAB-FF0E-4837-82E6-6DBC93BF7F29}" name="PivotRating"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25:G30" firstHeaderRow="1" firstDataRow="2"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h="1" x="2"/>
        <item x="1"/>
        <item h="1" x="3"/>
        <item h="1" x="0"/>
        <item t="default"/>
      </items>
    </pivotField>
    <pivotField showAll="0" defaultSubtotal="0">
      <items count="7">
        <item x="0"/>
        <item x="1"/>
        <item x="2"/>
        <item x="3"/>
        <item x="4"/>
        <item x="5"/>
        <item x="6"/>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13" series="1">
      <pivotArea type="data" outline="0" fieldPosition="0">
        <references count="2">
          <reference field="4294967294" count="1" selected="0">
            <x v="0"/>
          </reference>
          <reference field="9" count="1" selected="0">
            <x v="0"/>
          </reference>
        </references>
      </pivotArea>
    </chartFormat>
    <chartFormat chart="7" format="14" series="1">
      <pivotArea type="data" outline="0" fieldPosition="0">
        <references count="2">
          <reference field="4294967294" count="1" selected="0">
            <x v="0"/>
          </reference>
          <reference field="9" count="1" selected="0">
            <x v="1"/>
          </reference>
        </references>
      </pivotArea>
    </chartFormat>
    <chartFormat chart="7" format="15" series="1">
      <pivotArea type="data" outline="0" fieldPosition="0">
        <references count="2">
          <reference field="4294967294" count="1" selected="0">
            <x v="0"/>
          </reference>
          <reference field="9" count="1" selected="0">
            <x v="2"/>
          </reference>
        </references>
      </pivotArea>
    </chartFormat>
    <chartFormat chart="7" format="16" series="1">
      <pivotArea type="data" outline="0" fieldPosition="0">
        <references count="2">
          <reference field="4294967294" count="1" selected="0">
            <x v="0"/>
          </reference>
          <reference field="9" count="1" selected="0">
            <x v="3"/>
          </reference>
        </references>
      </pivotArea>
    </chartFormat>
    <chartFormat chart="7"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CA2AB3-7476-412E-BF0E-0C71DC44D4D6}" name="PivotDelive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4"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h="1" x="2"/>
        <item x="1"/>
        <item h="1" x="3"/>
        <item h="1"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2"/>
  </rowFields>
  <rowItems count="11">
    <i>
      <x/>
    </i>
    <i>
      <x v="1"/>
    </i>
    <i>
      <x v="2"/>
    </i>
    <i>
      <x v="3"/>
    </i>
    <i>
      <x v="4"/>
    </i>
    <i>
      <x v="5"/>
    </i>
    <i>
      <x v="6"/>
    </i>
    <i>
      <x v="7"/>
    </i>
    <i>
      <x v="8"/>
    </i>
    <i>
      <x v="9"/>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526E6C9D-0955-431C-B143-453F3D30C955}" sourceName="Order Mode">
  <pivotTables>
    <pivotTable tabId="9" name="PivotRating"/>
    <pivotTable tabId="9" name="PivotDelivery"/>
    <pivotTable tabId="5" name="PivotGender"/>
    <pivotTable tabId="5" name="PivotMap"/>
    <pivotTable tabId="5" name="PivotProduct"/>
    <pivotTable tabId="5" name="PivotQuantity"/>
    <pivotTable tabId="5" name="PivotTrends"/>
  </pivotTables>
  <data>
    <tabular pivotCacheId="1585103610">
      <items count="5">
        <i x="0"/>
        <i x="3" s="1"/>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04A62C04-B98E-4188-93B4-7F0B1287AE4C}" sourceName="Gender Value">
  <pivotTables>
    <pivotTable tabId="9" name="PivotRating"/>
    <pivotTable tabId="9" name="PivotDelivery"/>
    <pivotTable tabId="5" name="PivotMap"/>
    <pivotTable tabId="5" name="PivotQuantity"/>
    <pivotTable tabId="5" name="PivotTrends"/>
  </pivotTables>
  <data>
    <tabular pivotCacheId="1585103610">
      <items count="4">
        <i x="2"/>
        <i x="1"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AFEDA57B-E2CD-4234-ABA4-1A99FC1C6E12}" cache="Slicer_Order_Mode" caption="Order Mode" style="SlicerStyleLight2" rowHeight="241300"/>
  <slicer name="Gender Value" xr10:uid="{3B60FD09-1C47-4759-B6EA-03947B286975}" cache="Slicer_Gender_Value" caption="Gender Valu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37"/>
    <tableColumn id="7" xr3:uid="{43BB5DBF-46E1-4185-80C0-4361F55A385C}" name="Ship Date" dataDxfId="36"/>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35">
      <calculatedColumnFormula>orders[[#This Row],[Ship Date]]-orders[[#This Row],[Order Date]]</calculatedColumnFormula>
    </tableColumn>
    <tableColumn id="12" xr3:uid="{B071C0DA-87A9-4516-B4D9-4F5B7D3FF44A}" name="Weeknum" dataDxfId="34">
      <calculatedColumnFormula>WEEKNUM(orders[[#This Row],[Order Date]])</calculatedColumnFormula>
    </tableColumn>
    <tableColumn id="13" xr3:uid="{B8EA9E28-7541-4E76-9935-C26438661A18}" name="Gender Value" dataDxfId="33">
      <calculatedColumnFormula>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 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A7365-D5AA-45CA-8AEA-2539DB655A8A}">
  <dimension ref="A2:L127"/>
  <sheetViews>
    <sheetView workbookViewId="0">
      <selection activeCell="P85" sqref="P85"/>
    </sheetView>
  </sheetViews>
  <sheetFormatPr defaultRowHeight="14.25"/>
  <cols>
    <col min="1" max="1" width="13.125" bestFit="1" customWidth="1"/>
    <col min="2" max="2" width="15" bestFit="1" customWidth="1"/>
    <col min="3" max="4" width="14.25" bestFit="1" customWidth="1"/>
    <col min="5" max="5" width="9.125" bestFit="1" customWidth="1"/>
    <col min="6" max="6" width="11.375" bestFit="1" customWidth="1"/>
    <col min="7" max="7" width="14.25" bestFit="1" customWidth="1"/>
    <col min="8" max="8" width="15" bestFit="1" customWidth="1"/>
    <col min="9" max="9" width="13.125" bestFit="1" customWidth="1"/>
    <col min="10" max="10" width="15" bestFit="1" customWidth="1"/>
    <col min="11" max="11" width="19.375" bestFit="1" customWidth="1"/>
    <col min="12" max="12" width="11.5" customWidth="1"/>
    <col min="13" max="13" width="9.125" bestFit="1" customWidth="1"/>
    <col min="14" max="14" width="11.375" bestFit="1" customWidth="1"/>
  </cols>
  <sheetData>
    <row r="2" spans="1:12" ht="15">
      <c r="A2" t="s">
        <v>2537</v>
      </c>
      <c r="H2" s="6" t="s">
        <v>2523</v>
      </c>
      <c r="I2" s="6"/>
    </row>
    <row r="3" spans="1:12">
      <c r="A3" t="s">
        <v>2518</v>
      </c>
      <c r="B3" t="s">
        <v>2519</v>
      </c>
      <c r="C3" t="s">
        <v>2520</v>
      </c>
      <c r="D3" t="s">
        <v>2521</v>
      </c>
      <c r="E3" t="s">
        <v>2522</v>
      </c>
      <c r="H3" t="s">
        <v>2524</v>
      </c>
      <c r="I3" t="s">
        <v>2</v>
      </c>
      <c r="J3" t="s">
        <v>4</v>
      </c>
      <c r="K3" t="s">
        <v>2525</v>
      </c>
      <c r="L3" t="s">
        <v>2526</v>
      </c>
    </row>
    <row r="4" spans="1:12">
      <c r="A4" s="5">
        <v>2400</v>
      </c>
      <c r="B4" s="5">
        <v>11997</v>
      </c>
      <c r="C4" s="5">
        <v>649019.80000000144</v>
      </c>
      <c r="D4" s="5">
        <v>3.9620833333333332</v>
      </c>
      <c r="E4" s="5">
        <v>2.3424999999999998</v>
      </c>
      <c r="H4" t="str">
        <f>TEXT(A4, "#,##")</f>
        <v>2,400</v>
      </c>
      <c r="I4" t="str">
        <f t="shared" ref="I4" si="0">TEXT(B4, "#,##")</f>
        <v>11,997</v>
      </c>
      <c r="J4" t="str">
        <f>TEXT(C4, "$#,##,.0k")</f>
        <v>$649.0k</v>
      </c>
      <c r="K4" t="str">
        <f>TEXT(D4, "0.0")</f>
        <v>4.0</v>
      </c>
      <c r="L4" t="str">
        <f>TEXT(E4, "0.0")</f>
        <v>2.3</v>
      </c>
    </row>
    <row r="8" spans="1:12">
      <c r="A8" t="s">
        <v>2538</v>
      </c>
    </row>
    <row r="9" spans="1:12">
      <c r="A9" s="7" t="s">
        <v>2527</v>
      </c>
      <c r="B9" t="s">
        <v>2519</v>
      </c>
      <c r="C9" s="9" t="s">
        <v>2520</v>
      </c>
    </row>
    <row r="10" spans="1:12">
      <c r="A10" s="8">
        <v>1</v>
      </c>
      <c r="B10" s="5">
        <v>65</v>
      </c>
      <c r="C10" s="9">
        <v>7137.5999999999995</v>
      </c>
    </row>
    <row r="11" spans="1:12">
      <c r="A11" s="8">
        <v>2</v>
      </c>
      <c r="B11" s="5">
        <v>15</v>
      </c>
      <c r="C11" s="9">
        <v>563.40000000000009</v>
      </c>
    </row>
    <row r="12" spans="1:12">
      <c r="A12" s="8">
        <v>3</v>
      </c>
      <c r="B12" s="5">
        <v>22</v>
      </c>
      <c r="C12" s="9">
        <v>979.19999999999982</v>
      </c>
    </row>
    <row r="13" spans="1:12">
      <c r="A13" s="8">
        <v>4</v>
      </c>
      <c r="B13" s="5">
        <v>43</v>
      </c>
      <c r="C13" s="9">
        <v>1385.2</v>
      </c>
    </row>
    <row r="14" spans="1:12">
      <c r="A14" s="8">
        <v>5</v>
      </c>
      <c r="B14" s="5">
        <v>14</v>
      </c>
      <c r="C14" s="9">
        <v>894.5</v>
      </c>
    </row>
    <row r="15" spans="1:12">
      <c r="A15" s="8">
        <v>6</v>
      </c>
      <c r="B15" s="5">
        <v>46</v>
      </c>
      <c r="C15" s="9">
        <v>2224.7000000000003</v>
      </c>
    </row>
    <row r="16" spans="1:12">
      <c r="A16" s="8">
        <v>7</v>
      </c>
      <c r="B16" s="5">
        <v>36</v>
      </c>
      <c r="C16" s="9">
        <v>1471.2000000000003</v>
      </c>
    </row>
    <row r="17" spans="1:3">
      <c r="A17" s="8">
        <v>8</v>
      </c>
      <c r="B17" s="5">
        <v>34</v>
      </c>
      <c r="C17" s="9">
        <v>1754</v>
      </c>
    </row>
    <row r="18" spans="1:3">
      <c r="A18" s="8">
        <v>9</v>
      </c>
      <c r="B18" s="5">
        <v>56</v>
      </c>
      <c r="C18" s="9">
        <v>1715.3999999999999</v>
      </c>
    </row>
    <row r="19" spans="1:3">
      <c r="A19" s="8">
        <v>10</v>
      </c>
      <c r="B19" s="5">
        <v>21</v>
      </c>
      <c r="C19" s="9">
        <v>1307.5999999999999</v>
      </c>
    </row>
    <row r="20" spans="1:3">
      <c r="A20" s="8">
        <v>11</v>
      </c>
      <c r="B20" s="5">
        <v>46</v>
      </c>
      <c r="C20" s="9">
        <v>3206.2999999999997</v>
      </c>
    </row>
    <row r="21" spans="1:3">
      <c r="A21" s="8">
        <v>12</v>
      </c>
      <c r="B21" s="5">
        <v>27</v>
      </c>
      <c r="C21" s="9">
        <v>3210.3</v>
      </c>
    </row>
    <row r="22" spans="1:3">
      <c r="A22" s="8">
        <v>13</v>
      </c>
      <c r="B22" s="5">
        <v>54</v>
      </c>
      <c r="C22" s="9">
        <v>2097.9</v>
      </c>
    </row>
    <row r="23" spans="1:3">
      <c r="A23" s="8" t="s">
        <v>2528</v>
      </c>
      <c r="B23" s="5">
        <v>479</v>
      </c>
      <c r="C23" s="9">
        <v>27947.300000000003</v>
      </c>
    </row>
    <row r="29" spans="1:3">
      <c r="A29" t="s">
        <v>2512</v>
      </c>
    </row>
    <row r="30" spans="1:3">
      <c r="A30" s="7" t="s">
        <v>2527</v>
      </c>
      <c r="B30" t="s">
        <v>2518</v>
      </c>
    </row>
    <row r="31" spans="1:3">
      <c r="A31" s="8">
        <v>1</v>
      </c>
      <c r="B31" s="5">
        <v>19</v>
      </c>
    </row>
    <row r="32" spans="1:3">
      <c r="A32" s="8">
        <v>2</v>
      </c>
      <c r="B32" s="5">
        <v>25</v>
      </c>
    </row>
    <row r="33" spans="1:10">
      <c r="A33" s="8">
        <v>3</v>
      </c>
      <c r="B33" s="5">
        <v>21</v>
      </c>
    </row>
    <row r="34" spans="1:10">
      <c r="A34" s="8">
        <v>4</v>
      </c>
      <c r="B34" s="5">
        <v>11</v>
      </c>
    </row>
    <row r="35" spans="1:10">
      <c r="A35" s="8">
        <v>5</v>
      </c>
      <c r="B35" s="5">
        <v>8</v>
      </c>
    </row>
    <row r="36" spans="1:10">
      <c r="A36" s="8" t="s">
        <v>2535</v>
      </c>
      <c r="B36" s="5">
        <v>18</v>
      </c>
    </row>
    <row r="37" spans="1:10">
      <c r="A37" s="8" t="s">
        <v>2536</v>
      </c>
      <c r="B37" s="5">
        <v>7</v>
      </c>
    </row>
    <row r="38" spans="1:10">
      <c r="A38" s="8" t="s">
        <v>2528</v>
      </c>
      <c r="B38" s="5">
        <v>109</v>
      </c>
    </row>
    <row r="42" spans="1:10">
      <c r="A42" t="s">
        <v>2540</v>
      </c>
      <c r="I42" t="s">
        <v>2541</v>
      </c>
    </row>
    <row r="43" spans="1:10">
      <c r="A43" s="7" t="s">
        <v>2519</v>
      </c>
      <c r="B43" s="7" t="s">
        <v>2529</v>
      </c>
      <c r="I43" s="7" t="s">
        <v>2527</v>
      </c>
      <c r="J43" t="s">
        <v>2519</v>
      </c>
    </row>
    <row r="44" spans="1:10">
      <c r="A44" s="7" t="s">
        <v>2527</v>
      </c>
      <c r="B44" t="s">
        <v>2530</v>
      </c>
      <c r="C44" t="s">
        <v>2531</v>
      </c>
      <c r="D44" t="s">
        <v>2532</v>
      </c>
      <c r="E44" t="s">
        <v>2533</v>
      </c>
      <c r="F44" t="s">
        <v>2528</v>
      </c>
      <c r="I44" s="8" t="s">
        <v>2530</v>
      </c>
      <c r="J44" s="5">
        <v>733</v>
      </c>
    </row>
    <row r="45" spans="1:10">
      <c r="A45" s="8" t="s">
        <v>44</v>
      </c>
      <c r="B45" s="5">
        <v>122</v>
      </c>
      <c r="C45" s="5">
        <v>82</v>
      </c>
      <c r="D45" s="5">
        <v>1</v>
      </c>
      <c r="E45" s="5">
        <v>35</v>
      </c>
      <c r="F45" s="5">
        <v>240</v>
      </c>
      <c r="I45" s="8" t="s">
        <v>2531</v>
      </c>
      <c r="J45" s="5">
        <v>479</v>
      </c>
    </row>
    <row r="46" spans="1:10">
      <c r="A46" s="8" t="s">
        <v>39</v>
      </c>
      <c r="B46" s="5">
        <v>49</v>
      </c>
      <c r="C46" s="5">
        <v>79</v>
      </c>
      <c r="D46" s="5"/>
      <c r="E46" s="5">
        <v>105</v>
      </c>
      <c r="F46" s="5">
        <v>233</v>
      </c>
      <c r="I46" s="8" t="s">
        <v>2532</v>
      </c>
      <c r="J46" s="5">
        <v>17</v>
      </c>
    </row>
    <row r="47" spans="1:10">
      <c r="A47" s="8" t="s">
        <v>54</v>
      </c>
      <c r="B47" s="5">
        <v>92</v>
      </c>
      <c r="C47" s="5">
        <v>38</v>
      </c>
      <c r="D47" s="5"/>
      <c r="E47" s="5"/>
      <c r="F47" s="5">
        <v>130</v>
      </c>
      <c r="I47" s="8" t="s">
        <v>2533</v>
      </c>
      <c r="J47" s="5">
        <v>186</v>
      </c>
    </row>
    <row r="48" spans="1:10">
      <c r="A48" s="8" t="s">
        <v>46</v>
      </c>
      <c r="B48" s="5">
        <v>82</v>
      </c>
      <c r="C48" s="5">
        <v>7</v>
      </c>
      <c r="D48" s="5"/>
      <c r="E48" s="5">
        <v>10</v>
      </c>
      <c r="F48" s="5">
        <v>99</v>
      </c>
      <c r="I48" s="8" t="s">
        <v>2528</v>
      </c>
      <c r="J48" s="5">
        <v>1415</v>
      </c>
    </row>
    <row r="49" spans="1:6">
      <c r="A49" s="8" t="s">
        <v>16</v>
      </c>
      <c r="B49" s="5">
        <v>73</v>
      </c>
      <c r="C49" s="5">
        <v>22</v>
      </c>
      <c r="D49" s="5"/>
      <c r="E49" s="5">
        <v>2</v>
      </c>
      <c r="F49" s="5">
        <v>97</v>
      </c>
    </row>
    <row r="50" spans="1:6">
      <c r="A50" s="8" t="s">
        <v>22</v>
      </c>
      <c r="B50" s="5">
        <v>53</v>
      </c>
      <c r="C50" s="5">
        <v>32</v>
      </c>
      <c r="D50" s="5">
        <v>6</v>
      </c>
      <c r="E50" s="5"/>
      <c r="F50" s="5">
        <v>91</v>
      </c>
    </row>
    <row r="51" spans="1:6">
      <c r="A51" s="8" t="s">
        <v>32</v>
      </c>
      <c r="B51" s="5">
        <v>65</v>
      </c>
      <c r="C51" s="5">
        <v>17</v>
      </c>
      <c r="D51" s="5"/>
      <c r="E51" s="5">
        <v>6</v>
      </c>
      <c r="F51" s="5">
        <v>88</v>
      </c>
    </row>
    <row r="52" spans="1:6">
      <c r="A52" s="8" t="s">
        <v>26</v>
      </c>
      <c r="B52" s="5">
        <v>28</v>
      </c>
      <c r="C52" s="5">
        <v>55</v>
      </c>
      <c r="D52" s="5"/>
      <c r="E52" s="5">
        <v>2</v>
      </c>
      <c r="F52" s="5">
        <v>85</v>
      </c>
    </row>
    <row r="53" spans="1:6">
      <c r="A53" s="8" t="s">
        <v>37</v>
      </c>
      <c r="B53" s="5">
        <v>38</v>
      </c>
      <c r="C53" s="5">
        <v>33</v>
      </c>
      <c r="D53" s="5"/>
      <c r="E53" s="5">
        <v>10</v>
      </c>
      <c r="F53" s="5">
        <v>81</v>
      </c>
    </row>
    <row r="54" spans="1:6">
      <c r="A54" s="8" t="s">
        <v>146</v>
      </c>
      <c r="B54" s="5">
        <v>9</v>
      </c>
      <c r="C54" s="5">
        <v>33</v>
      </c>
      <c r="D54" s="5">
        <v>7</v>
      </c>
      <c r="E54" s="5">
        <v>3</v>
      </c>
      <c r="F54" s="5">
        <v>52</v>
      </c>
    </row>
    <row r="55" spans="1:6">
      <c r="A55" s="8" t="s">
        <v>67</v>
      </c>
      <c r="B55" s="5">
        <v>32</v>
      </c>
      <c r="C55" s="5">
        <v>10</v>
      </c>
      <c r="D55" s="5"/>
      <c r="E55" s="5"/>
      <c r="F55" s="5">
        <v>42</v>
      </c>
    </row>
    <row r="56" spans="1:6">
      <c r="A56" s="8" t="s">
        <v>123</v>
      </c>
      <c r="B56" s="5">
        <v>24</v>
      </c>
      <c r="C56" s="5">
        <v>9</v>
      </c>
      <c r="D56" s="5"/>
      <c r="E56" s="5">
        <v>4</v>
      </c>
      <c r="F56" s="5">
        <v>37</v>
      </c>
    </row>
    <row r="57" spans="1:6">
      <c r="A57" s="8" t="s">
        <v>42</v>
      </c>
      <c r="B57" s="5">
        <v>12</v>
      </c>
      <c r="C57" s="5">
        <v>19</v>
      </c>
      <c r="D57" s="5"/>
      <c r="E57" s="5"/>
      <c r="F57" s="5">
        <v>31</v>
      </c>
    </row>
    <row r="58" spans="1:6">
      <c r="A58" s="8" t="s">
        <v>69</v>
      </c>
      <c r="B58" s="5">
        <v>22</v>
      </c>
      <c r="C58" s="5">
        <v>7</v>
      </c>
      <c r="D58" s="5"/>
      <c r="E58" s="5"/>
      <c r="F58" s="5">
        <v>29</v>
      </c>
    </row>
    <row r="59" spans="1:6">
      <c r="A59" s="8" t="s">
        <v>81</v>
      </c>
      <c r="B59" s="5">
        <v>5</v>
      </c>
      <c r="C59" s="5">
        <v>20</v>
      </c>
      <c r="D59" s="5"/>
      <c r="E59" s="5"/>
      <c r="F59" s="5">
        <v>25</v>
      </c>
    </row>
    <row r="60" spans="1:6">
      <c r="A60" s="8" t="s">
        <v>30</v>
      </c>
      <c r="B60" s="5">
        <v>11</v>
      </c>
      <c r="C60" s="5">
        <v>10</v>
      </c>
      <c r="D60" s="5"/>
      <c r="E60" s="5"/>
      <c r="F60" s="5">
        <v>21</v>
      </c>
    </row>
    <row r="61" spans="1:6">
      <c r="A61" s="8" t="s">
        <v>128</v>
      </c>
      <c r="B61" s="5">
        <v>9</v>
      </c>
      <c r="C61" s="5"/>
      <c r="D61" s="5">
        <v>3</v>
      </c>
      <c r="E61" s="5">
        <v>9</v>
      </c>
      <c r="F61" s="5">
        <v>21</v>
      </c>
    </row>
    <row r="62" spans="1:6">
      <c r="A62" s="8" t="s">
        <v>135</v>
      </c>
      <c r="B62" s="5">
        <v>7</v>
      </c>
      <c r="C62" s="5">
        <v>3</v>
      </c>
      <c r="D62" s="5"/>
      <c r="E62" s="5"/>
      <c r="F62" s="5">
        <v>10</v>
      </c>
    </row>
    <row r="63" spans="1:6">
      <c r="A63" s="8" t="s">
        <v>171</v>
      </c>
      <c r="B63" s="5"/>
      <c r="C63" s="5">
        <v>2</v>
      </c>
      <c r="D63" s="5"/>
      <c r="E63" s="5"/>
      <c r="F63" s="5">
        <v>2</v>
      </c>
    </row>
    <row r="64" spans="1:6">
      <c r="A64" s="8" t="s">
        <v>76</v>
      </c>
      <c r="B64" s="5"/>
      <c r="C64" s="5">
        <v>1</v>
      </c>
      <c r="D64" s="5"/>
      <c r="E64" s="5"/>
      <c r="F64" s="5">
        <v>1</v>
      </c>
    </row>
    <row r="65" spans="1:12">
      <c r="A65" s="8" t="s">
        <v>2528</v>
      </c>
      <c r="B65" s="5">
        <v>733</v>
      </c>
      <c r="C65" s="5">
        <v>479</v>
      </c>
      <c r="D65" s="5">
        <v>17</v>
      </c>
      <c r="E65" s="5">
        <v>186</v>
      </c>
      <c r="F65" s="5">
        <v>1415</v>
      </c>
    </row>
    <row r="68" spans="1:12">
      <c r="A68" t="s">
        <v>2542</v>
      </c>
      <c r="F68" t="s">
        <v>2543</v>
      </c>
      <c r="J68" t="s">
        <v>2544</v>
      </c>
    </row>
    <row r="69" spans="1:12">
      <c r="A69" s="7" t="s">
        <v>10</v>
      </c>
      <c r="B69" s="7" t="s">
        <v>11</v>
      </c>
      <c r="C69" t="s">
        <v>2519</v>
      </c>
      <c r="D69" t="s">
        <v>2520</v>
      </c>
      <c r="F69" t="s">
        <v>10</v>
      </c>
      <c r="G69" t="s">
        <v>11</v>
      </c>
      <c r="H69" t="s">
        <v>2</v>
      </c>
      <c r="J69" t="s">
        <v>10</v>
      </c>
      <c r="K69" t="s">
        <v>11</v>
      </c>
      <c r="L69" t="s">
        <v>4</v>
      </c>
    </row>
    <row r="70" spans="1:12">
      <c r="A70" t="s">
        <v>19</v>
      </c>
      <c r="B70" t="s">
        <v>115</v>
      </c>
      <c r="C70" s="5">
        <v>33</v>
      </c>
      <c r="D70" s="5">
        <v>1577.8</v>
      </c>
      <c r="F70" t="str">
        <f>IF(A70="", "", A70)</f>
        <v>California</v>
      </c>
      <c r="G70" t="str">
        <f>IF(B70="", "", B70)</f>
        <v>Alameda County</v>
      </c>
      <c r="H70">
        <f>C70</f>
        <v>33</v>
      </c>
      <c r="J70" t="str">
        <f>IF(A70="", "", A70)</f>
        <v>California</v>
      </c>
      <c r="K70" t="str">
        <f>IF(B70="", "", B70)</f>
        <v>Alameda County</v>
      </c>
      <c r="L70">
        <f>D70</f>
        <v>1577.8</v>
      </c>
    </row>
    <row r="71" spans="1:12">
      <c r="A71" t="s">
        <v>19</v>
      </c>
      <c r="B71" t="s">
        <v>24</v>
      </c>
      <c r="C71" s="5">
        <v>10</v>
      </c>
      <c r="D71" s="5">
        <v>396</v>
      </c>
      <c r="F71" t="str">
        <f t="shared" ref="F71:F127" si="1">IF(A71="", "", A71)</f>
        <v>California</v>
      </c>
      <c r="G71" t="str">
        <f t="shared" ref="G71:G127" si="2">IF(B71="", "", B71)</f>
        <v>Contra Costa County</v>
      </c>
      <c r="H71">
        <f t="shared" ref="H71:H127" si="3">C71</f>
        <v>10</v>
      </c>
      <c r="J71" t="str">
        <f t="shared" ref="J71:J127" si="4">IF(A71="", "", A71)</f>
        <v>California</v>
      </c>
      <c r="K71" t="str">
        <f t="shared" ref="K71:K127" si="5">IF(B71="", "", B71)</f>
        <v>Contra Costa County</v>
      </c>
      <c r="L71">
        <f t="shared" ref="L71:L127" si="6">D71</f>
        <v>396</v>
      </c>
    </row>
    <row r="72" spans="1:12">
      <c r="A72" t="s">
        <v>19</v>
      </c>
      <c r="B72" t="s">
        <v>437</v>
      </c>
      <c r="C72" s="5">
        <v>1</v>
      </c>
      <c r="D72" s="5">
        <v>20.6</v>
      </c>
      <c r="F72" t="str">
        <f t="shared" si="1"/>
        <v>California</v>
      </c>
      <c r="G72" t="str">
        <f t="shared" si="2"/>
        <v>El Dorado County</v>
      </c>
      <c r="H72">
        <f t="shared" si="3"/>
        <v>1</v>
      </c>
      <c r="J72" t="str">
        <f t="shared" si="4"/>
        <v>California</v>
      </c>
      <c r="K72" t="str">
        <f t="shared" si="5"/>
        <v>El Dorado County</v>
      </c>
      <c r="L72">
        <f t="shared" si="6"/>
        <v>20.6</v>
      </c>
    </row>
    <row r="73" spans="1:12">
      <c r="A73" t="s">
        <v>19</v>
      </c>
      <c r="B73" t="s">
        <v>28</v>
      </c>
      <c r="C73" s="5">
        <v>14</v>
      </c>
      <c r="D73" s="5">
        <v>242.6</v>
      </c>
      <c r="F73" t="str">
        <f t="shared" si="1"/>
        <v>California</v>
      </c>
      <c r="G73" t="str">
        <f t="shared" si="2"/>
        <v>Fresno County</v>
      </c>
      <c r="H73">
        <f t="shared" si="3"/>
        <v>14</v>
      </c>
      <c r="J73" t="str">
        <f t="shared" si="4"/>
        <v>California</v>
      </c>
      <c r="K73" t="str">
        <f t="shared" si="5"/>
        <v>Fresno County</v>
      </c>
      <c r="L73">
        <f t="shared" si="6"/>
        <v>242.6</v>
      </c>
    </row>
    <row r="74" spans="1:12">
      <c r="A74" t="s">
        <v>19</v>
      </c>
      <c r="B74" t="s">
        <v>208</v>
      </c>
      <c r="C74" s="5">
        <v>2</v>
      </c>
      <c r="D74" s="5">
        <v>80.599999999999994</v>
      </c>
      <c r="F74" t="str">
        <f t="shared" si="1"/>
        <v>California</v>
      </c>
      <c r="G74" t="str">
        <f t="shared" si="2"/>
        <v>Glenn County</v>
      </c>
      <c r="H74">
        <f t="shared" si="3"/>
        <v>2</v>
      </c>
      <c r="J74" t="str">
        <f t="shared" si="4"/>
        <v>California</v>
      </c>
      <c r="K74" t="str">
        <f t="shared" si="5"/>
        <v>Glenn County</v>
      </c>
      <c r="L74">
        <f t="shared" si="6"/>
        <v>80.599999999999994</v>
      </c>
    </row>
    <row r="75" spans="1:12">
      <c r="A75" t="s">
        <v>19</v>
      </c>
      <c r="B75" t="s">
        <v>587</v>
      </c>
      <c r="C75" s="5">
        <v>2</v>
      </c>
      <c r="D75" s="5">
        <v>68.2</v>
      </c>
      <c r="F75" t="str">
        <f t="shared" si="1"/>
        <v>California</v>
      </c>
      <c r="G75" t="str">
        <f t="shared" si="2"/>
        <v>Humboldt County</v>
      </c>
      <c r="H75">
        <f t="shared" si="3"/>
        <v>2</v>
      </c>
      <c r="J75" t="str">
        <f t="shared" si="4"/>
        <v>California</v>
      </c>
      <c r="K75" t="str">
        <f t="shared" si="5"/>
        <v>Humboldt County</v>
      </c>
      <c r="L75">
        <f t="shared" si="6"/>
        <v>68.2</v>
      </c>
    </row>
    <row r="76" spans="1:12">
      <c r="A76" t="s">
        <v>19</v>
      </c>
      <c r="B76" t="s">
        <v>147</v>
      </c>
      <c r="C76" s="5">
        <v>5</v>
      </c>
      <c r="D76" s="5">
        <v>181.1</v>
      </c>
      <c r="F76" t="str">
        <f t="shared" si="1"/>
        <v>California</v>
      </c>
      <c r="G76" t="str">
        <f t="shared" si="2"/>
        <v>Kern County</v>
      </c>
      <c r="H76">
        <f t="shared" si="3"/>
        <v>5</v>
      </c>
      <c r="J76" t="str">
        <f t="shared" si="4"/>
        <v>California</v>
      </c>
      <c r="K76" t="str">
        <f t="shared" si="5"/>
        <v>Kern County</v>
      </c>
      <c r="L76">
        <f t="shared" si="6"/>
        <v>181.1</v>
      </c>
    </row>
    <row r="77" spans="1:12">
      <c r="A77" t="s">
        <v>19</v>
      </c>
      <c r="B77" t="s">
        <v>33</v>
      </c>
      <c r="C77" s="5">
        <v>127</v>
      </c>
      <c r="D77" s="5">
        <v>8679.9000000000015</v>
      </c>
      <c r="F77" t="str">
        <f t="shared" si="1"/>
        <v>California</v>
      </c>
      <c r="G77" t="str">
        <f t="shared" si="2"/>
        <v>Los Angeles County</v>
      </c>
      <c r="H77">
        <f t="shared" si="3"/>
        <v>127</v>
      </c>
      <c r="J77" t="str">
        <f t="shared" si="4"/>
        <v>California</v>
      </c>
      <c r="K77" t="str">
        <f t="shared" si="5"/>
        <v>Los Angeles County</v>
      </c>
      <c r="L77">
        <f t="shared" si="6"/>
        <v>8679.9000000000015</v>
      </c>
    </row>
    <row r="78" spans="1:12">
      <c r="A78" t="s">
        <v>19</v>
      </c>
      <c r="B78" t="s">
        <v>545</v>
      </c>
      <c r="C78" s="5">
        <v>2</v>
      </c>
      <c r="D78" s="5">
        <v>39.200000000000003</v>
      </c>
      <c r="F78" t="str">
        <f t="shared" si="1"/>
        <v>California</v>
      </c>
      <c r="G78" t="str">
        <f t="shared" si="2"/>
        <v>Marin County</v>
      </c>
      <c r="H78">
        <f t="shared" si="3"/>
        <v>2</v>
      </c>
      <c r="J78" t="str">
        <f t="shared" si="4"/>
        <v>California</v>
      </c>
      <c r="K78" t="str">
        <f t="shared" si="5"/>
        <v>Marin County</v>
      </c>
      <c r="L78">
        <f t="shared" si="6"/>
        <v>39.200000000000003</v>
      </c>
    </row>
    <row r="79" spans="1:12">
      <c r="A79" t="s">
        <v>19</v>
      </c>
      <c r="B79" t="s">
        <v>186</v>
      </c>
      <c r="C79" s="5">
        <v>12</v>
      </c>
      <c r="D79" s="5">
        <v>793.19999999999993</v>
      </c>
      <c r="F79" t="str">
        <f t="shared" si="1"/>
        <v>California</v>
      </c>
      <c r="G79" t="str">
        <f t="shared" si="2"/>
        <v>Merced County</v>
      </c>
      <c r="H79">
        <f t="shared" si="3"/>
        <v>12</v>
      </c>
      <c r="J79" t="str">
        <f t="shared" si="4"/>
        <v>California</v>
      </c>
      <c r="K79" t="str">
        <f t="shared" si="5"/>
        <v>Merced County</v>
      </c>
      <c r="L79">
        <f t="shared" si="6"/>
        <v>793.19999999999993</v>
      </c>
    </row>
    <row r="80" spans="1:12">
      <c r="A80" t="s">
        <v>19</v>
      </c>
      <c r="B80" t="s">
        <v>802</v>
      </c>
      <c r="C80" s="5">
        <v>27</v>
      </c>
      <c r="D80" s="5">
        <v>1479</v>
      </c>
      <c r="F80" t="str">
        <f t="shared" si="1"/>
        <v>California</v>
      </c>
      <c r="G80" t="str">
        <f t="shared" si="2"/>
        <v>Monterey County</v>
      </c>
      <c r="H80">
        <f t="shared" si="3"/>
        <v>27</v>
      </c>
      <c r="J80" t="str">
        <f t="shared" si="4"/>
        <v>California</v>
      </c>
      <c r="K80" t="str">
        <f t="shared" si="5"/>
        <v>Monterey County</v>
      </c>
      <c r="L80">
        <f t="shared" si="6"/>
        <v>1479</v>
      </c>
    </row>
    <row r="81" spans="1:12">
      <c r="A81" t="s">
        <v>19</v>
      </c>
      <c r="B81" t="s">
        <v>52</v>
      </c>
      <c r="C81" s="5">
        <v>35</v>
      </c>
      <c r="D81" s="5">
        <v>2756.4</v>
      </c>
      <c r="F81" t="str">
        <f t="shared" si="1"/>
        <v>California</v>
      </c>
      <c r="G81" t="str">
        <f t="shared" si="2"/>
        <v>Placer County</v>
      </c>
      <c r="H81">
        <f t="shared" si="3"/>
        <v>35</v>
      </c>
      <c r="J81" t="str">
        <f t="shared" si="4"/>
        <v>California</v>
      </c>
      <c r="K81" t="str">
        <f t="shared" si="5"/>
        <v>Placer County</v>
      </c>
      <c r="L81">
        <f t="shared" si="6"/>
        <v>2756.4</v>
      </c>
    </row>
    <row r="82" spans="1:12">
      <c r="A82" t="s">
        <v>19</v>
      </c>
      <c r="B82" t="s">
        <v>55</v>
      </c>
      <c r="C82" s="5">
        <v>17</v>
      </c>
      <c r="D82" s="5">
        <v>877.80000000000007</v>
      </c>
      <c r="F82" t="str">
        <f t="shared" si="1"/>
        <v>California</v>
      </c>
      <c r="G82" t="str">
        <f t="shared" si="2"/>
        <v>Sacramento County</v>
      </c>
      <c r="H82">
        <f t="shared" si="3"/>
        <v>17</v>
      </c>
      <c r="J82" t="str">
        <f t="shared" si="4"/>
        <v>California</v>
      </c>
      <c r="K82" t="str">
        <f t="shared" si="5"/>
        <v>Sacramento County</v>
      </c>
      <c r="L82">
        <f t="shared" si="6"/>
        <v>877.80000000000007</v>
      </c>
    </row>
    <row r="83" spans="1:12">
      <c r="A83" t="s">
        <v>19</v>
      </c>
      <c r="B83" t="s">
        <v>342</v>
      </c>
      <c r="C83" s="5">
        <v>5</v>
      </c>
      <c r="D83" s="5">
        <v>268.79999999999995</v>
      </c>
      <c r="F83" t="str">
        <f t="shared" si="1"/>
        <v>California</v>
      </c>
      <c r="G83" t="str">
        <f t="shared" si="2"/>
        <v>San Benito County</v>
      </c>
      <c r="H83">
        <f t="shared" si="3"/>
        <v>5</v>
      </c>
      <c r="J83" t="str">
        <f t="shared" si="4"/>
        <v>California</v>
      </c>
      <c r="K83" t="str">
        <f t="shared" si="5"/>
        <v>San Benito County</v>
      </c>
      <c r="L83">
        <f t="shared" si="6"/>
        <v>268.79999999999995</v>
      </c>
    </row>
    <row r="84" spans="1:12">
      <c r="A84" t="s">
        <v>19</v>
      </c>
      <c r="B84" t="s">
        <v>59</v>
      </c>
      <c r="C84" s="5">
        <v>4</v>
      </c>
      <c r="D84" s="5">
        <v>92</v>
      </c>
      <c r="F84" t="str">
        <f t="shared" si="1"/>
        <v>California</v>
      </c>
      <c r="G84" t="str">
        <f t="shared" si="2"/>
        <v>San Bernardino County</v>
      </c>
      <c r="H84">
        <f t="shared" si="3"/>
        <v>4</v>
      </c>
      <c r="J84" t="str">
        <f t="shared" si="4"/>
        <v>California</v>
      </c>
      <c r="K84" t="str">
        <f t="shared" si="5"/>
        <v>San Bernardino County</v>
      </c>
      <c r="L84">
        <f t="shared" si="6"/>
        <v>92</v>
      </c>
    </row>
    <row r="85" spans="1:12">
      <c r="A85" t="s">
        <v>19</v>
      </c>
      <c r="B85" t="s">
        <v>62</v>
      </c>
      <c r="C85" s="5">
        <v>120</v>
      </c>
      <c r="D85" s="5">
        <v>7332.0000000000009</v>
      </c>
      <c r="F85" t="str">
        <f t="shared" si="1"/>
        <v>California</v>
      </c>
      <c r="G85" t="str">
        <f t="shared" si="2"/>
        <v>San Diego County</v>
      </c>
      <c r="H85">
        <f t="shared" si="3"/>
        <v>120</v>
      </c>
      <c r="J85" t="str">
        <f t="shared" si="4"/>
        <v>California</v>
      </c>
      <c r="K85" t="str">
        <f t="shared" si="5"/>
        <v>San Diego County</v>
      </c>
      <c r="L85">
        <f t="shared" si="6"/>
        <v>7332.0000000000009</v>
      </c>
    </row>
    <row r="86" spans="1:12">
      <c r="A86" t="s">
        <v>19</v>
      </c>
      <c r="B86" t="s">
        <v>103</v>
      </c>
      <c r="C86" s="5">
        <v>10</v>
      </c>
      <c r="D86" s="5">
        <v>861.19999999999993</v>
      </c>
      <c r="F86" t="str">
        <f t="shared" si="1"/>
        <v>California</v>
      </c>
      <c r="G86" t="str">
        <f t="shared" si="2"/>
        <v>San Francisco</v>
      </c>
      <c r="H86">
        <f t="shared" si="3"/>
        <v>10</v>
      </c>
      <c r="J86" t="str">
        <f t="shared" si="4"/>
        <v>California</v>
      </c>
      <c r="K86" t="str">
        <f t="shared" si="5"/>
        <v>San Francisco</v>
      </c>
      <c r="L86">
        <f t="shared" si="6"/>
        <v>861.19999999999993</v>
      </c>
    </row>
    <row r="87" spans="1:12">
      <c r="A87" t="s">
        <v>19</v>
      </c>
      <c r="B87" t="s">
        <v>72</v>
      </c>
      <c r="C87" s="5">
        <v>9</v>
      </c>
      <c r="D87" s="5">
        <v>651.90000000000009</v>
      </c>
      <c r="F87" t="str">
        <f t="shared" si="1"/>
        <v>California</v>
      </c>
      <c r="G87" t="str">
        <f t="shared" si="2"/>
        <v>San Mateo County</v>
      </c>
      <c r="H87">
        <f t="shared" si="3"/>
        <v>9</v>
      </c>
      <c r="J87" t="str">
        <f t="shared" si="4"/>
        <v>California</v>
      </c>
      <c r="K87" t="str">
        <f t="shared" si="5"/>
        <v>San Mateo County</v>
      </c>
      <c r="L87">
        <f t="shared" si="6"/>
        <v>651.90000000000009</v>
      </c>
    </row>
    <row r="88" spans="1:12">
      <c r="A88" t="s">
        <v>19</v>
      </c>
      <c r="B88" t="s">
        <v>74</v>
      </c>
      <c r="C88" s="5">
        <v>2</v>
      </c>
      <c r="D88" s="5">
        <v>122</v>
      </c>
      <c r="F88" t="str">
        <f t="shared" si="1"/>
        <v>California</v>
      </c>
      <c r="G88" t="str">
        <f t="shared" si="2"/>
        <v>Santa Barbara County</v>
      </c>
      <c r="H88">
        <f t="shared" si="3"/>
        <v>2</v>
      </c>
      <c r="J88" t="str">
        <f t="shared" si="4"/>
        <v>California</v>
      </c>
      <c r="K88" t="str">
        <f t="shared" si="5"/>
        <v>Santa Barbara County</v>
      </c>
      <c r="L88">
        <f t="shared" si="6"/>
        <v>122</v>
      </c>
    </row>
    <row r="89" spans="1:12">
      <c r="A89" t="s">
        <v>19</v>
      </c>
      <c r="B89" t="s">
        <v>77</v>
      </c>
      <c r="C89" s="5">
        <v>9</v>
      </c>
      <c r="D89" s="5">
        <v>341.59999999999997</v>
      </c>
      <c r="F89" t="str">
        <f t="shared" si="1"/>
        <v>California</v>
      </c>
      <c r="G89" t="str">
        <f t="shared" si="2"/>
        <v>Santa Clara County</v>
      </c>
      <c r="H89">
        <f t="shared" si="3"/>
        <v>9</v>
      </c>
      <c r="J89" t="str">
        <f t="shared" si="4"/>
        <v>California</v>
      </c>
      <c r="K89" t="str">
        <f t="shared" si="5"/>
        <v>Santa Clara County</v>
      </c>
      <c r="L89">
        <f t="shared" si="6"/>
        <v>341.59999999999997</v>
      </c>
    </row>
    <row r="90" spans="1:12">
      <c r="A90" t="s">
        <v>19</v>
      </c>
      <c r="B90" t="s">
        <v>309</v>
      </c>
      <c r="C90" s="5">
        <v>2</v>
      </c>
      <c r="D90" s="5">
        <v>32.200000000000003</v>
      </c>
      <c r="F90" t="str">
        <f t="shared" si="1"/>
        <v>California</v>
      </c>
      <c r="G90" t="str">
        <f t="shared" si="2"/>
        <v>Santa Cruz County</v>
      </c>
      <c r="H90">
        <f t="shared" si="3"/>
        <v>2</v>
      </c>
      <c r="J90" t="str">
        <f t="shared" si="4"/>
        <v>California</v>
      </c>
      <c r="K90" t="str">
        <f t="shared" si="5"/>
        <v>Santa Cruz County</v>
      </c>
      <c r="L90">
        <f t="shared" si="6"/>
        <v>32.200000000000003</v>
      </c>
    </row>
    <row r="91" spans="1:12">
      <c r="A91" t="s">
        <v>19</v>
      </c>
      <c r="B91" t="s">
        <v>108</v>
      </c>
      <c r="C91" s="5">
        <v>11</v>
      </c>
      <c r="D91" s="5">
        <v>366.6</v>
      </c>
      <c r="F91" t="str">
        <f t="shared" si="1"/>
        <v>California</v>
      </c>
      <c r="G91" t="str">
        <f t="shared" si="2"/>
        <v>Sonoma County</v>
      </c>
      <c r="H91">
        <f t="shared" si="3"/>
        <v>11</v>
      </c>
      <c r="J91" t="str">
        <f t="shared" si="4"/>
        <v>California</v>
      </c>
      <c r="K91" t="str">
        <f t="shared" si="5"/>
        <v>Sonoma County</v>
      </c>
      <c r="L91">
        <f t="shared" si="6"/>
        <v>366.6</v>
      </c>
    </row>
    <row r="92" spans="1:12">
      <c r="A92" t="s">
        <v>19</v>
      </c>
      <c r="B92" t="s">
        <v>110</v>
      </c>
      <c r="C92" s="5">
        <v>4</v>
      </c>
      <c r="D92" s="5">
        <v>234.4</v>
      </c>
      <c r="F92" t="str">
        <f t="shared" si="1"/>
        <v>California</v>
      </c>
      <c r="G92" t="str">
        <f t="shared" si="2"/>
        <v>Stanislaus County</v>
      </c>
      <c r="H92">
        <f t="shared" si="3"/>
        <v>4</v>
      </c>
      <c r="J92" t="str">
        <f t="shared" si="4"/>
        <v>California</v>
      </c>
      <c r="K92" t="str">
        <f t="shared" si="5"/>
        <v>Stanislaus County</v>
      </c>
      <c r="L92">
        <f t="shared" si="6"/>
        <v>234.4</v>
      </c>
    </row>
    <row r="93" spans="1:12">
      <c r="A93" t="s">
        <v>19</v>
      </c>
      <c r="B93" t="s">
        <v>292</v>
      </c>
      <c r="C93" s="5">
        <v>2</v>
      </c>
      <c r="D93" s="5">
        <v>123</v>
      </c>
      <c r="F93" t="str">
        <f t="shared" si="1"/>
        <v>California</v>
      </c>
      <c r="G93" t="str">
        <f t="shared" si="2"/>
        <v>Sutter County</v>
      </c>
      <c r="H93">
        <f t="shared" si="3"/>
        <v>2</v>
      </c>
      <c r="J93" t="str">
        <f t="shared" si="4"/>
        <v>California</v>
      </c>
      <c r="K93" t="str">
        <f t="shared" si="5"/>
        <v>Sutter County</v>
      </c>
      <c r="L93">
        <f t="shared" si="6"/>
        <v>123</v>
      </c>
    </row>
    <row r="94" spans="1:12">
      <c r="A94" t="s">
        <v>19</v>
      </c>
      <c r="B94" t="s">
        <v>82</v>
      </c>
      <c r="C94" s="5">
        <v>14</v>
      </c>
      <c r="D94" s="5">
        <v>329.20000000000005</v>
      </c>
      <c r="F94" t="str">
        <f t="shared" si="1"/>
        <v>California</v>
      </c>
      <c r="G94" t="str">
        <f t="shared" si="2"/>
        <v>Ventura County</v>
      </c>
      <c r="H94">
        <f t="shared" si="3"/>
        <v>14</v>
      </c>
      <c r="J94" t="str">
        <f t="shared" si="4"/>
        <v>California</v>
      </c>
      <c r="K94" t="str">
        <f t="shared" si="5"/>
        <v>Ventura County</v>
      </c>
      <c r="L94">
        <f t="shared" si="6"/>
        <v>329.20000000000005</v>
      </c>
    </row>
    <row r="95" spans="1:12">
      <c r="F95" t="str">
        <f t="shared" si="1"/>
        <v/>
      </c>
      <c r="G95" t="str">
        <f t="shared" si="2"/>
        <v/>
      </c>
      <c r="H95">
        <f t="shared" si="3"/>
        <v>0</v>
      </c>
      <c r="J95" t="str">
        <f t="shared" si="4"/>
        <v/>
      </c>
      <c r="K95" t="str">
        <f t="shared" si="5"/>
        <v/>
      </c>
      <c r="L95">
        <f t="shared" si="6"/>
        <v>0</v>
      </c>
    </row>
    <row r="96" spans="1:12">
      <c r="F96" t="str">
        <f t="shared" si="1"/>
        <v/>
      </c>
      <c r="G96" t="str">
        <f t="shared" si="2"/>
        <v/>
      </c>
      <c r="H96">
        <f t="shared" si="3"/>
        <v>0</v>
      </c>
      <c r="J96" t="str">
        <f t="shared" si="4"/>
        <v/>
      </c>
      <c r="K96" t="str">
        <f t="shared" si="5"/>
        <v/>
      </c>
      <c r="L96">
        <f t="shared" si="6"/>
        <v>0</v>
      </c>
    </row>
    <row r="97" spans="6:12">
      <c r="F97" t="str">
        <f t="shared" si="1"/>
        <v/>
      </c>
      <c r="G97" t="str">
        <f t="shared" si="2"/>
        <v/>
      </c>
      <c r="H97">
        <f t="shared" si="3"/>
        <v>0</v>
      </c>
      <c r="J97" t="str">
        <f t="shared" si="4"/>
        <v/>
      </c>
      <c r="K97" t="str">
        <f t="shared" si="5"/>
        <v/>
      </c>
      <c r="L97">
        <f t="shared" si="6"/>
        <v>0</v>
      </c>
    </row>
    <row r="98" spans="6:12">
      <c r="F98" t="str">
        <f t="shared" si="1"/>
        <v/>
      </c>
      <c r="G98" t="str">
        <f t="shared" si="2"/>
        <v/>
      </c>
      <c r="H98">
        <f t="shared" si="3"/>
        <v>0</v>
      </c>
      <c r="J98" t="str">
        <f t="shared" si="4"/>
        <v/>
      </c>
      <c r="K98" t="str">
        <f t="shared" si="5"/>
        <v/>
      </c>
      <c r="L98">
        <f t="shared" si="6"/>
        <v>0</v>
      </c>
    </row>
    <row r="99" spans="6:12">
      <c r="F99" t="str">
        <f t="shared" si="1"/>
        <v/>
      </c>
      <c r="G99" t="str">
        <f t="shared" si="2"/>
        <v/>
      </c>
      <c r="H99">
        <f t="shared" si="3"/>
        <v>0</v>
      </c>
      <c r="J99" t="str">
        <f t="shared" si="4"/>
        <v/>
      </c>
      <c r="K99" t="str">
        <f t="shared" si="5"/>
        <v/>
      </c>
      <c r="L99">
        <f t="shared" si="6"/>
        <v>0</v>
      </c>
    </row>
    <row r="100" spans="6:12">
      <c r="F100" t="str">
        <f t="shared" si="1"/>
        <v/>
      </c>
      <c r="G100" t="str">
        <f t="shared" si="2"/>
        <v/>
      </c>
      <c r="H100">
        <f t="shared" si="3"/>
        <v>0</v>
      </c>
      <c r="J100" t="str">
        <f t="shared" si="4"/>
        <v/>
      </c>
      <c r="K100" t="str">
        <f t="shared" si="5"/>
        <v/>
      </c>
      <c r="L100">
        <f t="shared" si="6"/>
        <v>0</v>
      </c>
    </row>
    <row r="101" spans="6:12">
      <c r="F101" t="str">
        <f t="shared" si="1"/>
        <v/>
      </c>
      <c r="G101" t="str">
        <f t="shared" si="2"/>
        <v/>
      </c>
      <c r="H101">
        <f t="shared" si="3"/>
        <v>0</v>
      </c>
      <c r="J101" t="str">
        <f t="shared" si="4"/>
        <v/>
      </c>
      <c r="K101" t="str">
        <f t="shared" si="5"/>
        <v/>
      </c>
      <c r="L101">
        <f t="shared" si="6"/>
        <v>0</v>
      </c>
    </row>
    <row r="102" spans="6:12">
      <c r="F102" t="str">
        <f t="shared" si="1"/>
        <v/>
      </c>
      <c r="G102" t="str">
        <f t="shared" si="2"/>
        <v/>
      </c>
      <c r="H102">
        <f t="shared" si="3"/>
        <v>0</v>
      </c>
      <c r="J102" t="str">
        <f t="shared" si="4"/>
        <v/>
      </c>
      <c r="K102" t="str">
        <f t="shared" si="5"/>
        <v/>
      </c>
      <c r="L102">
        <f t="shared" si="6"/>
        <v>0</v>
      </c>
    </row>
    <row r="103" spans="6:12">
      <c r="F103" t="str">
        <f t="shared" si="1"/>
        <v/>
      </c>
      <c r="G103" t="str">
        <f t="shared" si="2"/>
        <v/>
      </c>
      <c r="H103">
        <f t="shared" si="3"/>
        <v>0</v>
      </c>
      <c r="J103" t="str">
        <f t="shared" si="4"/>
        <v/>
      </c>
      <c r="K103" t="str">
        <f t="shared" si="5"/>
        <v/>
      </c>
      <c r="L103">
        <f t="shared" si="6"/>
        <v>0</v>
      </c>
    </row>
    <row r="104" spans="6:12">
      <c r="F104" t="str">
        <f t="shared" si="1"/>
        <v/>
      </c>
      <c r="G104" t="str">
        <f t="shared" si="2"/>
        <v/>
      </c>
      <c r="H104">
        <f t="shared" si="3"/>
        <v>0</v>
      </c>
      <c r="J104" t="str">
        <f t="shared" si="4"/>
        <v/>
      </c>
      <c r="K104" t="str">
        <f t="shared" si="5"/>
        <v/>
      </c>
      <c r="L104">
        <f t="shared" si="6"/>
        <v>0</v>
      </c>
    </row>
    <row r="105" spans="6:12">
      <c r="F105" t="str">
        <f t="shared" si="1"/>
        <v/>
      </c>
      <c r="G105" t="str">
        <f t="shared" si="2"/>
        <v/>
      </c>
      <c r="H105">
        <f t="shared" si="3"/>
        <v>0</v>
      </c>
      <c r="J105" t="str">
        <f t="shared" si="4"/>
        <v/>
      </c>
      <c r="K105" t="str">
        <f t="shared" si="5"/>
        <v/>
      </c>
      <c r="L105">
        <f t="shared" si="6"/>
        <v>0</v>
      </c>
    </row>
    <row r="106" spans="6:12">
      <c r="F106" t="str">
        <f t="shared" si="1"/>
        <v/>
      </c>
      <c r="G106" t="str">
        <f t="shared" si="2"/>
        <v/>
      </c>
      <c r="H106">
        <f t="shared" si="3"/>
        <v>0</v>
      </c>
      <c r="J106" t="str">
        <f t="shared" si="4"/>
        <v/>
      </c>
      <c r="K106" t="str">
        <f t="shared" si="5"/>
        <v/>
      </c>
      <c r="L106">
        <f t="shared" si="6"/>
        <v>0</v>
      </c>
    </row>
    <row r="107" spans="6:12">
      <c r="F107" t="str">
        <f t="shared" si="1"/>
        <v/>
      </c>
      <c r="G107" t="str">
        <f t="shared" si="2"/>
        <v/>
      </c>
      <c r="H107">
        <f t="shared" si="3"/>
        <v>0</v>
      </c>
      <c r="J107" t="str">
        <f t="shared" si="4"/>
        <v/>
      </c>
      <c r="K107" t="str">
        <f t="shared" si="5"/>
        <v/>
      </c>
      <c r="L107">
        <f t="shared" si="6"/>
        <v>0</v>
      </c>
    </row>
    <row r="108" spans="6:12">
      <c r="F108" t="str">
        <f t="shared" si="1"/>
        <v/>
      </c>
      <c r="G108" t="str">
        <f t="shared" si="2"/>
        <v/>
      </c>
      <c r="H108">
        <f t="shared" si="3"/>
        <v>0</v>
      </c>
      <c r="J108" t="str">
        <f t="shared" si="4"/>
        <v/>
      </c>
      <c r="K108" t="str">
        <f t="shared" si="5"/>
        <v/>
      </c>
      <c r="L108">
        <f t="shared" si="6"/>
        <v>0</v>
      </c>
    </row>
    <row r="109" spans="6:12">
      <c r="F109" t="str">
        <f t="shared" si="1"/>
        <v/>
      </c>
      <c r="G109" t="str">
        <f t="shared" si="2"/>
        <v/>
      </c>
      <c r="H109">
        <f t="shared" si="3"/>
        <v>0</v>
      </c>
      <c r="J109" t="str">
        <f t="shared" si="4"/>
        <v/>
      </c>
      <c r="K109" t="str">
        <f t="shared" si="5"/>
        <v/>
      </c>
      <c r="L109">
        <f t="shared" si="6"/>
        <v>0</v>
      </c>
    </row>
    <row r="110" spans="6:12">
      <c r="F110" t="str">
        <f t="shared" si="1"/>
        <v/>
      </c>
      <c r="G110" t="str">
        <f t="shared" si="2"/>
        <v/>
      </c>
      <c r="H110">
        <f t="shared" si="3"/>
        <v>0</v>
      </c>
      <c r="J110" t="str">
        <f t="shared" si="4"/>
        <v/>
      </c>
      <c r="K110" t="str">
        <f t="shared" si="5"/>
        <v/>
      </c>
      <c r="L110">
        <f t="shared" si="6"/>
        <v>0</v>
      </c>
    </row>
    <row r="111" spans="6:12">
      <c r="F111" t="str">
        <f t="shared" si="1"/>
        <v/>
      </c>
      <c r="G111" t="str">
        <f t="shared" si="2"/>
        <v/>
      </c>
      <c r="H111">
        <f t="shared" si="3"/>
        <v>0</v>
      </c>
      <c r="J111" t="str">
        <f t="shared" si="4"/>
        <v/>
      </c>
      <c r="K111" t="str">
        <f t="shared" si="5"/>
        <v/>
      </c>
      <c r="L111">
        <f t="shared" si="6"/>
        <v>0</v>
      </c>
    </row>
    <row r="112" spans="6:12">
      <c r="F112" t="str">
        <f t="shared" si="1"/>
        <v/>
      </c>
      <c r="G112" t="str">
        <f t="shared" si="2"/>
        <v/>
      </c>
      <c r="H112">
        <f t="shared" si="3"/>
        <v>0</v>
      </c>
      <c r="J112" t="str">
        <f t="shared" si="4"/>
        <v/>
      </c>
      <c r="K112" t="str">
        <f t="shared" si="5"/>
        <v/>
      </c>
      <c r="L112">
        <f t="shared" si="6"/>
        <v>0</v>
      </c>
    </row>
    <row r="113" spans="6:12">
      <c r="F113" t="str">
        <f t="shared" si="1"/>
        <v/>
      </c>
      <c r="G113" t="str">
        <f t="shared" si="2"/>
        <v/>
      </c>
      <c r="H113">
        <f t="shared" si="3"/>
        <v>0</v>
      </c>
      <c r="J113" t="str">
        <f t="shared" si="4"/>
        <v/>
      </c>
      <c r="K113" t="str">
        <f t="shared" si="5"/>
        <v/>
      </c>
      <c r="L113">
        <f t="shared" si="6"/>
        <v>0</v>
      </c>
    </row>
    <row r="114" spans="6:12">
      <c r="F114" t="str">
        <f t="shared" si="1"/>
        <v/>
      </c>
      <c r="G114" t="str">
        <f t="shared" si="2"/>
        <v/>
      </c>
      <c r="H114">
        <f t="shared" si="3"/>
        <v>0</v>
      </c>
      <c r="J114" t="str">
        <f t="shared" si="4"/>
        <v/>
      </c>
      <c r="K114" t="str">
        <f t="shared" si="5"/>
        <v/>
      </c>
      <c r="L114">
        <f t="shared" si="6"/>
        <v>0</v>
      </c>
    </row>
    <row r="115" spans="6:12">
      <c r="F115" t="str">
        <f t="shared" si="1"/>
        <v/>
      </c>
      <c r="G115" t="str">
        <f t="shared" si="2"/>
        <v/>
      </c>
      <c r="H115">
        <f t="shared" si="3"/>
        <v>0</v>
      </c>
      <c r="J115" t="str">
        <f t="shared" si="4"/>
        <v/>
      </c>
      <c r="K115" t="str">
        <f t="shared" si="5"/>
        <v/>
      </c>
      <c r="L115">
        <f t="shared" si="6"/>
        <v>0</v>
      </c>
    </row>
    <row r="116" spans="6:12">
      <c r="F116" t="str">
        <f t="shared" si="1"/>
        <v/>
      </c>
      <c r="G116" t="str">
        <f t="shared" si="2"/>
        <v/>
      </c>
      <c r="H116">
        <f t="shared" si="3"/>
        <v>0</v>
      </c>
      <c r="J116" t="str">
        <f t="shared" si="4"/>
        <v/>
      </c>
      <c r="K116" t="str">
        <f t="shared" si="5"/>
        <v/>
      </c>
      <c r="L116">
        <f t="shared" si="6"/>
        <v>0</v>
      </c>
    </row>
    <row r="117" spans="6:12">
      <c r="F117" t="str">
        <f t="shared" si="1"/>
        <v/>
      </c>
      <c r="G117" t="str">
        <f t="shared" si="2"/>
        <v/>
      </c>
      <c r="H117">
        <f t="shared" si="3"/>
        <v>0</v>
      </c>
      <c r="J117" t="str">
        <f t="shared" si="4"/>
        <v/>
      </c>
      <c r="K117" t="str">
        <f t="shared" si="5"/>
        <v/>
      </c>
      <c r="L117">
        <f t="shared" si="6"/>
        <v>0</v>
      </c>
    </row>
    <row r="118" spans="6:12">
      <c r="F118" t="str">
        <f t="shared" si="1"/>
        <v/>
      </c>
      <c r="G118" t="str">
        <f t="shared" si="2"/>
        <v/>
      </c>
      <c r="H118">
        <f t="shared" si="3"/>
        <v>0</v>
      </c>
      <c r="J118" t="str">
        <f t="shared" si="4"/>
        <v/>
      </c>
      <c r="K118" t="str">
        <f t="shared" si="5"/>
        <v/>
      </c>
      <c r="L118">
        <f t="shared" si="6"/>
        <v>0</v>
      </c>
    </row>
    <row r="119" spans="6:12">
      <c r="F119" t="str">
        <f t="shared" si="1"/>
        <v/>
      </c>
      <c r="G119" t="str">
        <f t="shared" si="2"/>
        <v/>
      </c>
      <c r="H119">
        <f t="shared" si="3"/>
        <v>0</v>
      </c>
      <c r="J119" t="str">
        <f t="shared" si="4"/>
        <v/>
      </c>
      <c r="K119" t="str">
        <f t="shared" si="5"/>
        <v/>
      </c>
      <c r="L119">
        <f t="shared" si="6"/>
        <v>0</v>
      </c>
    </row>
    <row r="120" spans="6:12">
      <c r="F120" t="str">
        <f t="shared" si="1"/>
        <v/>
      </c>
      <c r="G120" t="str">
        <f t="shared" si="2"/>
        <v/>
      </c>
      <c r="H120">
        <f t="shared" si="3"/>
        <v>0</v>
      </c>
      <c r="J120" t="str">
        <f t="shared" si="4"/>
        <v/>
      </c>
      <c r="K120" t="str">
        <f t="shared" si="5"/>
        <v/>
      </c>
      <c r="L120">
        <f t="shared" si="6"/>
        <v>0</v>
      </c>
    </row>
    <row r="121" spans="6:12">
      <c r="F121" t="str">
        <f t="shared" si="1"/>
        <v/>
      </c>
      <c r="G121" t="str">
        <f t="shared" si="2"/>
        <v/>
      </c>
      <c r="H121">
        <f t="shared" si="3"/>
        <v>0</v>
      </c>
      <c r="J121" t="str">
        <f t="shared" si="4"/>
        <v/>
      </c>
      <c r="K121" t="str">
        <f t="shared" si="5"/>
        <v/>
      </c>
      <c r="L121">
        <f t="shared" si="6"/>
        <v>0</v>
      </c>
    </row>
    <row r="122" spans="6:12">
      <c r="F122" t="str">
        <f t="shared" si="1"/>
        <v/>
      </c>
      <c r="G122" t="str">
        <f t="shared" si="2"/>
        <v/>
      </c>
      <c r="H122">
        <f t="shared" si="3"/>
        <v>0</v>
      </c>
      <c r="J122" t="str">
        <f t="shared" si="4"/>
        <v/>
      </c>
      <c r="K122" t="str">
        <f t="shared" si="5"/>
        <v/>
      </c>
      <c r="L122">
        <f t="shared" si="6"/>
        <v>0</v>
      </c>
    </row>
    <row r="123" spans="6:12">
      <c r="F123" t="str">
        <f t="shared" si="1"/>
        <v/>
      </c>
      <c r="G123" t="str">
        <f t="shared" si="2"/>
        <v/>
      </c>
      <c r="H123">
        <f t="shared" si="3"/>
        <v>0</v>
      </c>
      <c r="J123" t="str">
        <f t="shared" si="4"/>
        <v/>
      </c>
      <c r="K123" t="str">
        <f t="shared" si="5"/>
        <v/>
      </c>
      <c r="L123">
        <f t="shared" si="6"/>
        <v>0</v>
      </c>
    </row>
    <row r="124" spans="6:12">
      <c r="F124" t="str">
        <f t="shared" si="1"/>
        <v/>
      </c>
      <c r="G124" t="str">
        <f t="shared" si="2"/>
        <v/>
      </c>
      <c r="H124">
        <f t="shared" si="3"/>
        <v>0</v>
      </c>
      <c r="J124" t="str">
        <f t="shared" si="4"/>
        <v/>
      </c>
      <c r="K124" t="str">
        <f t="shared" si="5"/>
        <v/>
      </c>
      <c r="L124">
        <f t="shared" si="6"/>
        <v>0</v>
      </c>
    </row>
    <row r="125" spans="6:12">
      <c r="F125" t="str">
        <f t="shared" si="1"/>
        <v/>
      </c>
      <c r="G125" t="str">
        <f t="shared" si="2"/>
        <v/>
      </c>
      <c r="H125">
        <f t="shared" si="3"/>
        <v>0</v>
      </c>
      <c r="J125" t="str">
        <f t="shared" si="4"/>
        <v/>
      </c>
      <c r="K125" t="str">
        <f t="shared" si="5"/>
        <v/>
      </c>
      <c r="L125">
        <f t="shared" si="6"/>
        <v>0</v>
      </c>
    </row>
    <row r="126" spans="6:12">
      <c r="F126" t="str">
        <f t="shared" si="1"/>
        <v/>
      </c>
      <c r="G126" t="str">
        <f t="shared" si="2"/>
        <v/>
      </c>
      <c r="H126">
        <f t="shared" si="3"/>
        <v>0</v>
      </c>
      <c r="J126" t="str">
        <f t="shared" si="4"/>
        <v/>
      </c>
      <c r="K126" t="str">
        <f t="shared" si="5"/>
        <v/>
      </c>
      <c r="L126">
        <f t="shared" si="6"/>
        <v>0</v>
      </c>
    </row>
    <row r="127" spans="6:12">
      <c r="F127" t="str">
        <f t="shared" si="1"/>
        <v/>
      </c>
      <c r="G127" t="str">
        <f t="shared" si="2"/>
        <v/>
      </c>
      <c r="H127">
        <f t="shared" si="3"/>
        <v>0</v>
      </c>
      <c r="J127" t="str">
        <f t="shared" si="4"/>
        <v/>
      </c>
      <c r="K127" t="str">
        <f t="shared" si="5"/>
        <v/>
      </c>
      <c r="L127">
        <f t="shared" si="6"/>
        <v>0</v>
      </c>
    </row>
  </sheetData>
  <pageMargins left="0.7" right="0.7" top="0.75" bottom="0.75" header="0.3" footer="0.3"/>
  <pageSetup paperSize="9" orientation="portrait" verticalDpi="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17A-CF9C-4BC4-ADFD-407DE3F351D1}">
  <dimension ref="A2:Q12"/>
  <sheetViews>
    <sheetView showGridLines="0" workbookViewId="0">
      <selection activeCell="A6" sqref="A6"/>
    </sheetView>
  </sheetViews>
  <sheetFormatPr defaultRowHeight="14.25"/>
  <cols>
    <col min="1" max="1" width="14.25" bestFit="1" customWidth="1"/>
    <col min="2" max="2" width="16.125" bestFit="1" customWidth="1"/>
    <col min="3" max="3" width="7" bestFit="1" customWidth="1"/>
    <col min="4" max="4" width="6" bestFit="1" customWidth="1"/>
    <col min="5" max="5" width="9.125" bestFit="1" customWidth="1"/>
    <col min="6" max="6" width="11.375" bestFit="1" customWidth="1"/>
    <col min="9" max="9" width="10.25" customWidth="1"/>
  </cols>
  <sheetData>
    <row r="2" spans="1:17">
      <c r="A2" t="s">
        <v>2539</v>
      </c>
      <c r="I2" t="s">
        <v>2534</v>
      </c>
    </row>
    <row r="3" spans="1:17">
      <c r="A3" s="7" t="s">
        <v>2520</v>
      </c>
      <c r="B3" s="7" t="s">
        <v>2529</v>
      </c>
    </row>
    <row r="4" spans="1:17" ht="24.75" customHeight="1" thickBot="1">
      <c r="A4" s="7" t="s">
        <v>2527</v>
      </c>
      <c r="B4" t="s">
        <v>2530</v>
      </c>
      <c r="C4" t="s">
        <v>2531</v>
      </c>
      <c r="D4" t="s">
        <v>2532</v>
      </c>
      <c r="E4" t="s">
        <v>2533</v>
      </c>
      <c r="F4" t="s">
        <v>2528</v>
      </c>
      <c r="J4" t="str">
        <f>B4</f>
        <v>Female</v>
      </c>
      <c r="K4" t="str">
        <f>C4</f>
        <v>Male</v>
      </c>
      <c r="L4" t="str">
        <f>D4</f>
        <v>Other</v>
      </c>
      <c r="M4" t="str">
        <f>E4</f>
        <v>Unknown</v>
      </c>
    </row>
    <row r="5" spans="1:17" ht="24.75" customHeight="1" thickTop="1" thickBot="1">
      <c r="A5" s="8" t="s">
        <v>18</v>
      </c>
      <c r="B5" s="10">
        <v>0.18961825201634841</v>
      </c>
      <c r="C5" s="10">
        <v>0.12262322351336576</v>
      </c>
      <c r="D5" s="10">
        <v>1.060537752469185E-2</v>
      </c>
      <c r="E5" s="10">
        <v>3.0599220547662797E-2</v>
      </c>
      <c r="F5" s="10">
        <v>0.35344607360206881</v>
      </c>
      <c r="I5" t="str">
        <f>A5</f>
        <v>App</v>
      </c>
      <c r="J5" s="12">
        <f t="shared" ref="J5:M5" si="0">B5</f>
        <v>0.18961825201634841</v>
      </c>
      <c r="K5" s="12">
        <f t="shared" si="0"/>
        <v>0.12262322351336576</v>
      </c>
      <c r="L5" s="12">
        <f t="shared" si="0"/>
        <v>1.060537752469185E-2</v>
      </c>
      <c r="M5" s="12">
        <f t="shared" si="0"/>
        <v>3.0599220547662797E-2</v>
      </c>
    </row>
    <row r="6" spans="1:17" ht="22.5" customHeight="1" thickTop="1" thickBot="1">
      <c r="A6" s="8" t="s">
        <v>51</v>
      </c>
      <c r="B6" s="10">
        <v>5.0283982091147303E-2</v>
      </c>
      <c r="C6" s="10">
        <v>4.3060781812819873E-2</v>
      </c>
      <c r="D6" s="10">
        <v>1.5320025675641944E-3</v>
      </c>
      <c r="E6" s="10">
        <v>1.7794988689097006E-2</v>
      </c>
      <c r="F6" s="10">
        <v>0.11267175516062837</v>
      </c>
      <c r="I6" t="str">
        <f t="shared" ref="I6:I9" si="1">A6</f>
        <v>Instagram</v>
      </c>
      <c r="J6" s="12">
        <f t="shared" ref="J6:J9" si="2">B6</f>
        <v>5.0283982091147303E-2</v>
      </c>
      <c r="K6" s="12">
        <f t="shared" ref="K6:K9" si="3">C6</f>
        <v>4.3060781812819873E-2</v>
      </c>
      <c r="L6" s="12">
        <f t="shared" ref="L6:L9" si="4">D6</f>
        <v>1.5320025675641944E-3</v>
      </c>
      <c r="M6" s="12">
        <f t="shared" ref="M6:M9" si="5">E6</f>
        <v>1.7794988689097006E-2</v>
      </c>
    </row>
    <row r="7" spans="1:17" ht="22.5" customHeight="1" thickTop="1" thickBot="1">
      <c r="A7" s="8" t="s">
        <v>70</v>
      </c>
      <c r="B7" s="10">
        <v>6.3496059750411282E-2</v>
      </c>
      <c r="C7" s="10">
        <v>4.6071629863988765E-2</v>
      </c>
      <c r="D7" s="10">
        <v>2.306247051322625E-3</v>
      </c>
      <c r="E7" s="10">
        <v>3.8927934093844286E-3</v>
      </c>
      <c r="F7" s="10">
        <v>0.11576673007510711</v>
      </c>
      <c r="I7" t="str">
        <f t="shared" si="1"/>
        <v>Partner App</v>
      </c>
      <c r="J7" s="12">
        <f t="shared" si="2"/>
        <v>6.3496059750411282E-2</v>
      </c>
      <c r="K7" s="12">
        <f t="shared" si="3"/>
        <v>4.6071629863988765E-2</v>
      </c>
      <c r="L7" s="12">
        <f t="shared" si="4"/>
        <v>2.306247051322625E-3</v>
      </c>
      <c r="M7" s="12">
        <f t="shared" si="5"/>
        <v>3.8927934093844286E-3</v>
      </c>
      <c r="Q7" s="11"/>
    </row>
    <row r="8" spans="1:17" ht="24.75" customHeight="1" thickTop="1" thickBot="1">
      <c r="A8" s="8" t="s">
        <v>40</v>
      </c>
      <c r="B8" s="10">
        <v>9.6337892927149532E-2</v>
      </c>
      <c r="C8" s="10">
        <v>6.7920115842382611E-2</v>
      </c>
      <c r="D8" s="10">
        <v>5.4979832664581261E-3</v>
      </c>
      <c r="E8" s="10">
        <v>1.2933041488102518E-2</v>
      </c>
      <c r="F8" s="10">
        <v>0.1826890335240928</v>
      </c>
      <c r="I8" t="str">
        <f t="shared" si="1"/>
        <v>Target.com</v>
      </c>
      <c r="J8" s="12">
        <f t="shared" si="2"/>
        <v>9.6337892927149532E-2</v>
      </c>
      <c r="K8" s="12">
        <f t="shared" si="3"/>
        <v>6.7920115842382611E-2</v>
      </c>
      <c r="L8" s="12">
        <f t="shared" si="4"/>
        <v>5.4979832664581261E-3</v>
      </c>
      <c r="M8" s="12">
        <f t="shared" si="5"/>
        <v>1.2933041488102518E-2</v>
      </c>
    </row>
    <row r="9" spans="1:17" ht="27.75" customHeight="1" thickTop="1" thickBot="1">
      <c r="A9" s="8" t="s">
        <v>35</v>
      </c>
      <c r="B9" s="10">
        <v>0.12522098709469262</v>
      </c>
      <c r="C9" s="10">
        <v>9.1492740283116228E-2</v>
      </c>
      <c r="D9" s="10">
        <v>6.3042760790965081E-3</v>
      </c>
      <c r="E9" s="10">
        <v>1.2408404181197551E-2</v>
      </c>
      <c r="F9" s="10">
        <v>0.23542640763810288</v>
      </c>
      <c r="I9" t="str">
        <f t="shared" si="1"/>
        <v>Website</v>
      </c>
      <c r="J9" s="12">
        <f t="shared" si="2"/>
        <v>0.12522098709469262</v>
      </c>
      <c r="K9" s="12">
        <f t="shared" si="3"/>
        <v>9.1492740283116228E-2</v>
      </c>
      <c r="L9" s="12">
        <f t="shared" si="4"/>
        <v>6.3042760790965081E-3</v>
      </c>
      <c r="M9" s="12">
        <f t="shared" si="5"/>
        <v>1.2408404181197551E-2</v>
      </c>
    </row>
    <row r="10" spans="1:17" ht="15" thickTop="1">
      <c r="A10" s="8" t="s">
        <v>2528</v>
      </c>
      <c r="B10" s="10">
        <v>0.52495717387974916</v>
      </c>
      <c r="C10" s="10">
        <v>0.3711684913156732</v>
      </c>
      <c r="D10" s="10">
        <v>2.6245886489133303E-2</v>
      </c>
      <c r="E10" s="10">
        <v>7.7628448315444312E-2</v>
      </c>
      <c r="F10" s="10">
        <v>1</v>
      </c>
    </row>
    <row r="12" spans="1:17">
      <c r="N12" s="11"/>
    </row>
  </sheetData>
  <conditionalFormatting sqref="J5:M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A0C9E-52CA-40EB-80AC-573098644D08}">
  <dimension ref="A2:G30"/>
  <sheetViews>
    <sheetView workbookViewId="0">
      <selection activeCell="E35" sqref="E35"/>
    </sheetView>
  </sheetViews>
  <sheetFormatPr defaultRowHeight="14.25"/>
  <cols>
    <col min="1" max="1" width="13.125" bestFit="1" customWidth="1"/>
    <col min="2" max="2" width="14" bestFit="1" customWidth="1"/>
    <col min="3" max="3" width="1.875" bestFit="1" customWidth="1"/>
    <col min="4" max="6" width="2.875" bestFit="1" customWidth="1"/>
    <col min="7" max="7" width="11.375" bestFit="1" customWidth="1"/>
    <col min="8" max="10" width="5.625" bestFit="1" customWidth="1"/>
    <col min="11" max="32" width="6.625" bestFit="1" customWidth="1"/>
    <col min="33" max="33" width="9" bestFit="1" customWidth="1"/>
    <col min="34" max="34" width="6" bestFit="1" customWidth="1"/>
    <col min="35" max="42" width="5.875" bestFit="1" customWidth="1"/>
    <col min="43" max="61" width="6.875" bestFit="1" customWidth="1"/>
    <col min="62" max="62" width="9.25" bestFit="1" customWidth="1"/>
    <col min="63" max="63" width="6" bestFit="1" customWidth="1"/>
    <col min="64" max="71" width="5.875" bestFit="1" customWidth="1"/>
    <col min="72" max="91" width="6.875" bestFit="1" customWidth="1"/>
    <col min="92" max="92" width="9.25" bestFit="1" customWidth="1"/>
    <col min="93" max="93" width="11.375" bestFit="1" customWidth="1"/>
  </cols>
  <sheetData>
    <row r="2" spans="1:2">
      <c r="A2" t="s">
        <v>2545</v>
      </c>
    </row>
    <row r="3" spans="1:2">
      <c r="A3" s="7" t="s">
        <v>2527</v>
      </c>
      <c r="B3" t="s">
        <v>2518</v>
      </c>
    </row>
    <row r="4" spans="1:2">
      <c r="A4" s="8">
        <v>0</v>
      </c>
      <c r="B4" s="5">
        <v>6</v>
      </c>
    </row>
    <row r="5" spans="1:2">
      <c r="A5" s="8">
        <v>1</v>
      </c>
      <c r="B5" s="5">
        <v>36</v>
      </c>
    </row>
    <row r="6" spans="1:2">
      <c r="A6" s="8">
        <v>2</v>
      </c>
      <c r="B6" s="5">
        <v>14</v>
      </c>
    </row>
    <row r="7" spans="1:2">
      <c r="A7" s="8">
        <v>3</v>
      </c>
      <c r="B7" s="5">
        <v>23</v>
      </c>
    </row>
    <row r="8" spans="1:2">
      <c r="A8" s="8">
        <v>4</v>
      </c>
      <c r="B8" s="5">
        <v>15</v>
      </c>
    </row>
    <row r="9" spans="1:2">
      <c r="A9" s="8">
        <v>5</v>
      </c>
      <c r="B9" s="5">
        <v>7</v>
      </c>
    </row>
    <row r="10" spans="1:2">
      <c r="A10" s="8">
        <v>6</v>
      </c>
      <c r="B10" s="5">
        <v>5</v>
      </c>
    </row>
    <row r="11" spans="1:2">
      <c r="A11" s="8">
        <v>7</v>
      </c>
      <c r="B11" s="5">
        <v>1</v>
      </c>
    </row>
    <row r="12" spans="1:2">
      <c r="A12" s="8">
        <v>8</v>
      </c>
      <c r="B12" s="5">
        <v>1</v>
      </c>
    </row>
    <row r="13" spans="1:2">
      <c r="A13" s="8">
        <v>9</v>
      </c>
      <c r="B13" s="5">
        <v>1</v>
      </c>
    </row>
    <row r="14" spans="1:2">
      <c r="A14" s="8" t="s">
        <v>2528</v>
      </c>
      <c r="B14" s="5">
        <v>109</v>
      </c>
    </row>
    <row r="24" spans="1:7">
      <c r="A24" t="s">
        <v>2546</v>
      </c>
    </row>
    <row r="25" spans="1:7">
      <c r="A25" s="7" t="s">
        <v>2518</v>
      </c>
      <c r="B25" s="7" t="s">
        <v>2529</v>
      </c>
    </row>
    <row r="26" spans="1:7">
      <c r="A26" s="7" t="s">
        <v>2527</v>
      </c>
      <c r="B26">
        <v>1</v>
      </c>
      <c r="C26">
        <v>2</v>
      </c>
      <c r="D26">
        <v>3</v>
      </c>
      <c r="E26">
        <v>4</v>
      </c>
      <c r="F26">
        <v>5</v>
      </c>
      <c r="G26" t="s">
        <v>2528</v>
      </c>
    </row>
    <row r="27" spans="1:7">
      <c r="A27" s="8" t="s">
        <v>2547</v>
      </c>
      <c r="B27" s="5"/>
      <c r="C27" s="5">
        <v>1</v>
      </c>
      <c r="D27" s="5">
        <v>4</v>
      </c>
      <c r="E27" s="5">
        <v>14</v>
      </c>
      <c r="F27" s="5">
        <v>14</v>
      </c>
      <c r="G27" s="5">
        <v>33</v>
      </c>
    </row>
    <row r="28" spans="1:7">
      <c r="A28" s="8" t="s">
        <v>2548</v>
      </c>
      <c r="B28" s="5"/>
      <c r="C28" s="5">
        <v>3</v>
      </c>
      <c r="D28" s="5">
        <v>9</v>
      </c>
      <c r="E28" s="5">
        <v>14</v>
      </c>
      <c r="F28" s="5">
        <v>14</v>
      </c>
      <c r="G28" s="5">
        <v>40</v>
      </c>
    </row>
    <row r="29" spans="1:7">
      <c r="A29" s="8" t="s">
        <v>2549</v>
      </c>
      <c r="B29" s="5">
        <v>1</v>
      </c>
      <c r="C29" s="5"/>
      <c r="D29" s="5">
        <v>7</v>
      </c>
      <c r="E29" s="5">
        <v>19</v>
      </c>
      <c r="F29" s="5">
        <v>9</v>
      </c>
      <c r="G29" s="5">
        <v>36</v>
      </c>
    </row>
    <row r="30" spans="1:7">
      <c r="A30" s="8" t="s">
        <v>2528</v>
      </c>
      <c r="B30" s="5">
        <v>1</v>
      </c>
      <c r="C30" s="5">
        <v>4</v>
      </c>
      <c r="D30" s="5">
        <v>20</v>
      </c>
      <c r="E30" s="5">
        <v>47</v>
      </c>
      <c r="F30" s="5">
        <v>37</v>
      </c>
      <c r="G30" s="5">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A2" sqref="A2:A2401"/>
    </sheetView>
  </sheetViews>
  <sheetFormatPr defaultRowHeight="14.25"/>
  <cols>
    <col min="2" max="2" width="19.125" bestFit="1" customWidth="1"/>
    <col min="3" max="3" width="8.125" bestFit="1" customWidth="1"/>
    <col min="4" max="4" width="9.125" bestFit="1" customWidth="1"/>
    <col min="5" max="5" width="7.5" bestFit="1" customWidth="1"/>
    <col min="6" max="6" width="10" bestFit="1" customWidth="1"/>
    <col min="7" max="7" width="9.5" bestFit="1" customWidth="1"/>
    <col min="8" max="8" width="15.625" bestFit="1" customWidth="1"/>
    <col min="9" max="9" width="10.625" bestFit="1" customWidth="1"/>
    <col min="10" max="10" width="7.75" bestFit="1" customWidth="1"/>
    <col min="11" max="11" width="8.75" bestFit="1" customWidth="1"/>
    <col min="12" max="12" width="19.625" bestFit="1" customWidth="1"/>
    <col min="13" max="13" width="15.375" customWidth="1"/>
    <col min="14" max="14" width="11.25" customWidth="1"/>
    <col min="15" max="15" width="14.125"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f>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f>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f>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f>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f>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f>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f>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f>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f>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f>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f>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f>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f>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f>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f>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f>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f>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f>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f>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f>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f>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f>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f>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f>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f>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f>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f>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f>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f>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f>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f>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f>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f>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f>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f>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f>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f>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f>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f>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f>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f>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f>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f>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f>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f>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f>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f>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f>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f>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f>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f>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f>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f>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f>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f>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f>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f>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f>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f>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f>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f>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f>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f>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f>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f>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f>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I12" sqref="I12"/>
    </sheetView>
  </sheetViews>
  <sheetFormatPr defaultRowHeight="14.25"/>
  <cols>
    <col min="1" max="1" width="3.625" customWidth="1"/>
    <col min="2" max="2" width="52.75" customWidth="1"/>
  </cols>
  <sheetData>
    <row r="2" spans="2:2" ht="15">
      <c r="B2" s="3" t="s">
        <v>2503</v>
      </c>
    </row>
    <row r="3" spans="2:2">
      <c r="B3" s="4" t="s">
        <v>2504</v>
      </c>
    </row>
    <row r="4" spans="2:2">
      <c r="B4" s="4" t="s">
        <v>2505</v>
      </c>
    </row>
    <row r="5" spans="2:2">
      <c r="B5" s="4" t="s">
        <v>2506</v>
      </c>
    </row>
    <row r="6" spans="2:2">
      <c r="B6" s="4" t="s">
        <v>2507</v>
      </c>
    </row>
    <row r="7" spans="2:2">
      <c r="B7" s="4" t="s">
        <v>2508</v>
      </c>
    </row>
    <row r="10" spans="2:2" ht="15">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F36B2-1FCD-4862-B8FC-CEC6B6F6BB63}">
  <dimension ref="A1"/>
  <sheetViews>
    <sheetView tabSelected="1" zoomScale="95" zoomScaleNormal="95" workbookViewId="0">
      <selection activeCell="AA20" sqref="AA20"/>
    </sheetView>
  </sheetViews>
  <sheetFormatPr defaultRowHeight="14.25"/>
  <cols>
    <col min="1" max="1" width="3.625" customWidth="1"/>
    <col min="2" max="2" width="17.75" customWidth="1"/>
    <col min="3" max="3" width="4"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vt:lpstr>
      <vt:lpstr>Pivot 2</vt:lpstr>
      <vt:lpstr>Pivot3</vt:lpstr>
      <vt:lpstr>Data</vt:lpstr>
      <vt:lpstr>Questions &amp; 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tanvithukral.ca@gmail.com</cp:lastModifiedBy>
  <dcterms:created xsi:type="dcterms:W3CDTF">2025-06-13T02:42:26Z</dcterms:created>
  <dcterms:modified xsi:type="dcterms:W3CDTF">2026-06-07T14:20:57Z</dcterms:modified>
</cp:coreProperties>
</file>